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523e14d3f8ae8114/Jugrafiya_dev/Tezintel/"/>
    </mc:Choice>
  </mc:AlternateContent>
  <xr:revisionPtr revIDLastSave="0" documentId="8_{A2D6618E-BF80-46EA-8356-6F4BC012E9A7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Comparison commercial report v3" sheetId="10" r:id="rId1"/>
    <sheet name="Sheet2" sheetId="12" r:id="rId2"/>
    <sheet name="Sheet1" sheetId="11" r:id="rId3"/>
    <sheet name="Sheet3" sheetId="13" r:id="rId4"/>
  </sheets>
  <definedNames>
    <definedName name="_xlnm._FilterDatabase" localSheetId="0" hidden="1">'Comparison commercial report v3'!$A$1:$AF$58</definedName>
    <definedName name="_xlnm._FilterDatabase" localSheetId="3" hidden="1">Sheet3!$A$1:$G$1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3" l="1"/>
  <c r="I2" i="13"/>
  <c r="J2" i="13"/>
  <c r="K2" i="13"/>
  <c r="H3" i="13"/>
  <c r="I3" i="13"/>
  <c r="J3" i="13"/>
  <c r="K3" i="13"/>
  <c r="H4" i="13"/>
  <c r="I4" i="13"/>
  <c r="J4" i="13"/>
  <c r="K4" i="13"/>
  <c r="H5" i="13"/>
  <c r="I5" i="13"/>
  <c r="J5" i="13"/>
  <c r="K5" i="13"/>
  <c r="H6" i="13"/>
  <c r="I6" i="13"/>
  <c r="J6" i="13"/>
  <c r="K6" i="13"/>
  <c r="H7" i="13"/>
  <c r="I7" i="13"/>
  <c r="J7" i="13"/>
  <c r="K7" i="13"/>
  <c r="H8" i="13"/>
  <c r="I8" i="13"/>
  <c r="J8" i="13"/>
  <c r="K8" i="13"/>
  <c r="H9" i="13"/>
  <c r="I9" i="13"/>
  <c r="J9" i="13"/>
  <c r="K9" i="13"/>
  <c r="H10" i="13"/>
  <c r="I10" i="13"/>
  <c r="J10" i="13"/>
  <c r="K10" i="13"/>
  <c r="H11" i="13"/>
  <c r="I11" i="13"/>
  <c r="J11" i="13"/>
  <c r="K11" i="13"/>
  <c r="H12" i="13"/>
  <c r="I12" i="13"/>
  <c r="J12" i="13"/>
  <c r="K12" i="13"/>
  <c r="H13" i="13"/>
  <c r="I13" i="13"/>
  <c r="J13" i="13"/>
  <c r="K13" i="13"/>
  <c r="H14" i="13"/>
  <c r="I14" i="13"/>
  <c r="J14" i="13"/>
  <c r="K14" i="13"/>
  <c r="H15" i="13"/>
  <c r="I15" i="13"/>
  <c r="J15" i="13"/>
  <c r="K15" i="13"/>
  <c r="H16" i="13"/>
  <c r="I16" i="13"/>
  <c r="J16" i="13"/>
  <c r="K16" i="13"/>
  <c r="H17" i="13"/>
  <c r="I17" i="13"/>
  <c r="J17" i="13"/>
  <c r="K17" i="13"/>
  <c r="H18" i="13"/>
  <c r="I18" i="13"/>
  <c r="J18" i="13"/>
  <c r="H19" i="13"/>
  <c r="I19" i="13"/>
  <c r="J19" i="13"/>
  <c r="K19" i="13"/>
  <c r="H20" i="13"/>
  <c r="I20" i="13"/>
  <c r="J20" i="13"/>
  <c r="K20" i="13"/>
  <c r="H21" i="13"/>
  <c r="I21" i="13"/>
  <c r="J21" i="13"/>
  <c r="K21" i="13"/>
  <c r="H22" i="13"/>
  <c r="I22" i="13"/>
  <c r="J22" i="13"/>
  <c r="K22" i="13"/>
  <c r="H23" i="13"/>
  <c r="I23" i="13"/>
  <c r="J23" i="13"/>
  <c r="K23" i="13"/>
  <c r="H24" i="13"/>
  <c r="I24" i="13"/>
  <c r="J24" i="13"/>
  <c r="K24" i="13"/>
  <c r="H25" i="13"/>
  <c r="I25" i="13"/>
  <c r="J25" i="13"/>
  <c r="K25" i="13"/>
  <c r="H26" i="13"/>
  <c r="I26" i="13"/>
  <c r="J26" i="13"/>
  <c r="K26" i="13"/>
  <c r="H27" i="13"/>
  <c r="I27" i="13"/>
  <c r="J27" i="13"/>
  <c r="K27" i="13"/>
  <c r="H28" i="13"/>
  <c r="I28" i="13"/>
  <c r="J28" i="13"/>
  <c r="H29" i="13"/>
  <c r="I29" i="13"/>
  <c r="J29" i="13"/>
  <c r="K29" i="13"/>
  <c r="H30" i="13"/>
  <c r="I30" i="13"/>
  <c r="J30" i="13"/>
  <c r="K30" i="13"/>
  <c r="H31" i="13"/>
  <c r="I31" i="13"/>
  <c r="J31" i="13"/>
  <c r="K31" i="13"/>
  <c r="H32" i="13"/>
  <c r="I32" i="13"/>
  <c r="J32" i="13"/>
  <c r="K32" i="13"/>
  <c r="H33" i="13"/>
  <c r="I33" i="13"/>
  <c r="J33" i="13"/>
  <c r="K33" i="13"/>
  <c r="H34" i="13"/>
  <c r="I34" i="13"/>
  <c r="J34" i="13"/>
  <c r="K34" i="13"/>
  <c r="H35" i="13"/>
  <c r="I35" i="13"/>
  <c r="J35" i="13"/>
  <c r="K35" i="13"/>
  <c r="H36" i="13"/>
  <c r="I36" i="13"/>
  <c r="J36" i="13"/>
  <c r="H37" i="13"/>
  <c r="I37" i="13"/>
  <c r="J37" i="13"/>
  <c r="H38" i="13"/>
  <c r="I38" i="13"/>
  <c r="J38" i="13"/>
  <c r="H39" i="13"/>
  <c r="I39" i="13"/>
  <c r="J39" i="13"/>
  <c r="K39" i="13"/>
  <c r="H40" i="13"/>
  <c r="I40" i="13"/>
  <c r="J40" i="13"/>
  <c r="K40" i="13"/>
  <c r="H41" i="13"/>
  <c r="I41" i="13"/>
  <c r="J41" i="13"/>
  <c r="K41" i="13"/>
  <c r="H42" i="13"/>
  <c r="I42" i="13"/>
  <c r="J42" i="13"/>
  <c r="K42" i="13"/>
  <c r="H43" i="13"/>
  <c r="I43" i="13"/>
  <c r="J43" i="13"/>
  <c r="K43" i="13"/>
  <c r="H44" i="13"/>
  <c r="I44" i="13"/>
  <c r="J44" i="13"/>
  <c r="K44" i="13"/>
  <c r="H45" i="13"/>
  <c r="I45" i="13"/>
  <c r="J45" i="13"/>
  <c r="K45" i="13"/>
  <c r="H46" i="13"/>
  <c r="I46" i="13"/>
  <c r="J46" i="13"/>
  <c r="K46" i="13"/>
  <c r="H47" i="13"/>
  <c r="I47" i="13"/>
  <c r="J47" i="13"/>
  <c r="H48" i="13"/>
  <c r="I48" i="13"/>
  <c r="J48" i="13"/>
  <c r="K48" i="13"/>
  <c r="H49" i="13"/>
  <c r="I49" i="13"/>
  <c r="J49" i="13"/>
  <c r="K49" i="13"/>
  <c r="H50" i="13"/>
  <c r="I50" i="13"/>
  <c r="J50" i="13"/>
  <c r="K50" i="13"/>
  <c r="H51" i="13"/>
  <c r="I51" i="13"/>
  <c r="J51" i="13"/>
  <c r="H52" i="13"/>
  <c r="I52" i="13"/>
  <c r="J52" i="13"/>
  <c r="K52" i="13"/>
  <c r="H53" i="13"/>
  <c r="I53" i="13"/>
  <c r="J53" i="13"/>
  <c r="K53" i="13"/>
  <c r="H54" i="13"/>
  <c r="I54" i="13"/>
  <c r="J54" i="13"/>
  <c r="K54" i="13"/>
  <c r="H55" i="13"/>
  <c r="I55" i="13"/>
  <c r="J55" i="13"/>
  <c r="K55" i="13"/>
  <c r="H56" i="13"/>
  <c r="I56" i="13"/>
  <c r="J56" i="13"/>
  <c r="K56" i="13"/>
  <c r="H57" i="13"/>
  <c r="I57" i="13"/>
  <c r="J57" i="13"/>
  <c r="K57" i="13"/>
  <c r="I417" i="10"/>
  <c r="D417" i="10"/>
  <c r="G417" i="10"/>
  <c r="F417" i="10"/>
  <c r="E417" i="10"/>
  <c r="V196" i="10"/>
  <c r="V195" i="10"/>
  <c r="V194" i="10"/>
  <c r="V193" i="10"/>
  <c r="V192" i="10"/>
  <c r="V191" i="10"/>
  <c r="V190" i="10"/>
  <c r="V189" i="10"/>
  <c r="V188" i="10"/>
  <c r="V187" i="10"/>
  <c r="V186" i="10"/>
  <c r="V185" i="10"/>
  <c r="V184" i="10"/>
  <c r="V183" i="10"/>
  <c r="V182" i="10"/>
  <c r="V181" i="10"/>
  <c r="V180" i="10"/>
  <c r="V179" i="10"/>
  <c r="V178" i="10"/>
  <c r="V160" i="10"/>
  <c r="V159" i="10"/>
  <c r="V158" i="10"/>
  <c r="V157" i="10"/>
  <c r="V156" i="10"/>
  <c r="V155" i="10"/>
  <c r="V154" i="10"/>
  <c r="V153" i="10"/>
  <c r="V152" i="10"/>
</calcChain>
</file>

<file path=xl/sharedStrings.xml><?xml version="1.0" encoding="utf-8"?>
<sst xmlns="http://schemas.openxmlformats.org/spreadsheetml/2006/main" count="3213" uniqueCount="506">
  <si>
    <t>Site</t>
  </si>
  <si>
    <t>version</t>
  </si>
  <si>
    <t>Valuation</t>
  </si>
  <si>
    <t>Forecast</t>
  </si>
  <si>
    <t>Monthly Gas total</t>
  </si>
  <si>
    <t>Monthly Diesel Gallons</t>
  </si>
  <si>
    <t>Csore Merchandise Sales</t>
  </si>
  <si>
    <t>QSR</t>
  </si>
  <si>
    <t>Deli</t>
  </si>
  <si>
    <t>Car Wash</t>
  </si>
  <si>
    <t>Liquor Sale</t>
  </si>
  <si>
    <t>Washateria</t>
  </si>
  <si>
    <t>Market value</t>
  </si>
  <si>
    <t>estimated const cost</t>
  </si>
  <si>
    <t>Gross Op Inc</t>
  </si>
  <si>
    <t>Op Expense</t>
  </si>
  <si>
    <t>NOI</t>
  </si>
  <si>
    <t>Type</t>
  </si>
  <si>
    <t>MPD</t>
  </si>
  <si>
    <t>Diesel</t>
  </si>
  <si>
    <t>Sq ft</t>
  </si>
  <si>
    <t>PricePerSqft</t>
  </si>
  <si>
    <t>QSR/Deli</t>
  </si>
  <si>
    <t>Retail Tenant (number and total sqft)</t>
  </si>
  <si>
    <t>Store</t>
  </si>
  <si>
    <t>Store (Freezer, Cooler)</t>
  </si>
  <si>
    <t>Curb Cuts</t>
  </si>
  <si>
    <t>frontage</t>
  </si>
  <si>
    <t>Is at intersection</t>
  </si>
  <si>
    <t>24 hour</t>
  </si>
  <si>
    <t>Address</t>
  </si>
  <si>
    <t>Coordinates</t>
  </si>
  <si>
    <t>truck diesel lanes</t>
  </si>
  <si>
    <t>Total Population</t>
  </si>
  <si>
    <t>Median Household Income</t>
  </si>
  <si>
    <t>Household owns Vehicle</t>
  </si>
  <si>
    <t>Median Age</t>
  </si>
  <si>
    <t>Traffic Counts</t>
  </si>
  <si>
    <t>Skippers Port</t>
  </si>
  <si>
    <t>v1</t>
  </si>
  <si>
    <t>GasStation</t>
  </si>
  <si>
    <t>(4,18)</t>
  </si>
  <si>
    <t>2 (130ft)</t>
  </si>
  <si>
    <t>80,80</t>
  </si>
  <si>
    <t>y</t>
  </si>
  <si>
    <t>2124 Marina Bay Dr. Kemah,TX 77565</t>
  </si>
  <si>
    <t>29.542588775195643, -95.05111114575821</t>
  </si>
  <si>
    <t>v7</t>
  </si>
  <si>
    <t>v9</t>
  </si>
  <si>
    <t>v10</t>
  </si>
  <si>
    <t>v20</t>
  </si>
  <si>
    <t>v21</t>
  </si>
  <si>
    <t>v22</t>
  </si>
  <si>
    <t>v23</t>
  </si>
  <si>
    <t>v24</t>
  </si>
  <si>
    <t>N</t>
  </si>
  <si>
    <t>v25</t>
  </si>
  <si>
    <t>v26</t>
  </si>
  <si>
    <t>v27</t>
  </si>
  <si>
    <t>v28</t>
  </si>
  <si>
    <t>v29</t>
  </si>
  <si>
    <t>v30</t>
  </si>
  <si>
    <t>v31</t>
  </si>
  <si>
    <t>v32</t>
  </si>
  <si>
    <t>18 - Staging</t>
  </si>
  <si>
    <t>19 - Staging</t>
  </si>
  <si>
    <t>35 - Staging</t>
  </si>
  <si>
    <t>38 - Staging</t>
  </si>
  <si>
    <t>REST_1</t>
  </si>
  <si>
    <t>REST_2</t>
  </si>
  <si>
    <t>REST_3</t>
  </si>
  <si>
    <t>REST_4</t>
  </si>
  <si>
    <t>v53 Staging</t>
  </si>
  <si>
    <t>v54 Staging</t>
  </si>
  <si>
    <t>v55 Staging</t>
  </si>
  <si>
    <t>v56 Staging</t>
  </si>
  <si>
    <t>v56 Prod</t>
  </si>
  <si>
    <t>v57 Staging</t>
  </si>
  <si>
    <t>v57 Prod</t>
  </si>
  <si>
    <t>v60 Staging</t>
  </si>
  <si>
    <t>v61 Staging</t>
  </si>
  <si>
    <t>v62 Staging</t>
  </si>
  <si>
    <t>v63 Staging</t>
  </si>
  <si>
    <t>v64 Staging</t>
  </si>
  <si>
    <t>v64 Production</t>
  </si>
  <si>
    <t>v65 Staging</t>
  </si>
  <si>
    <t>v65 Production</t>
  </si>
  <si>
    <t>v65 Prod IOS</t>
  </si>
  <si>
    <t>Deli 300</t>
  </si>
  <si>
    <t>v65 Prod android</t>
  </si>
  <si>
    <t>v68 Staging</t>
  </si>
  <si>
    <t>v69 Staging</t>
  </si>
  <si>
    <t>v70 Staging</t>
  </si>
  <si>
    <t xml:space="preserve"> v71 Staging</t>
  </si>
  <si>
    <t>v71 Production</t>
  </si>
  <si>
    <t>v80 Staging</t>
  </si>
  <si>
    <t>v90 Production</t>
  </si>
  <si>
    <t>v92 Staging</t>
  </si>
  <si>
    <t>v99 Staging</t>
  </si>
  <si>
    <t>v_a01_Staging</t>
  </si>
  <si>
    <t>v105 Staging</t>
  </si>
  <si>
    <t>3 (130ft)</t>
  </si>
  <si>
    <t>v27Aug25 Staging</t>
  </si>
  <si>
    <t>v16Sep25 staging</t>
  </si>
  <si>
    <t>v2Oct25 Prod</t>
  </si>
  <si>
    <t>3(130ft)</t>
  </si>
  <si>
    <t>vNov25 staging</t>
  </si>
  <si>
    <t>2 (40)</t>
  </si>
  <si>
    <t>30,30</t>
  </si>
  <si>
    <t>Y</t>
  </si>
  <si>
    <t>v Dec 25 Prod</t>
  </si>
  <si>
    <t>Skippers Port Original</t>
  </si>
  <si>
    <t>Skippers port IMST</t>
  </si>
  <si>
    <t>IMST</t>
  </si>
  <si>
    <t>Hit The Road</t>
  </si>
  <si>
    <t>(4,12)</t>
  </si>
  <si>
    <t>2 (30 fr)</t>
  </si>
  <si>
    <t>55,55</t>
  </si>
  <si>
    <t>18933 W Industrial Pkwy, New Caney, TX 77357, United States</t>
  </si>
  <si>
    <t>30.1702926977502, -95.2768024872349</t>
  </si>
  <si>
    <t>v2</t>
  </si>
  <si>
    <t>v40</t>
  </si>
  <si>
    <t>v63 Satging</t>
  </si>
  <si>
    <t>3 (30 fr)</t>
  </si>
  <si>
    <t>60, 60</t>
  </si>
  <si>
    <t>18934 W Industrial Pkwy, New Caney, TX 77357, United States</t>
  </si>
  <si>
    <t>55,57</t>
  </si>
  <si>
    <t>18935 W Industrial Pkwy, New Caney, TX 77357, United States</t>
  </si>
  <si>
    <t>55,58</t>
  </si>
  <si>
    <t>18936 W Industrial Pkwy, New Caney, TX 77357, United States</t>
  </si>
  <si>
    <t>55,59</t>
  </si>
  <si>
    <t>18937 W Industrial Pkwy, New Caney, TX 77357, United States</t>
  </si>
  <si>
    <t>55,60</t>
  </si>
  <si>
    <t>18938 W Industrial Pkwy, New Caney, TX 77357, United States</t>
  </si>
  <si>
    <t>55,61</t>
  </si>
  <si>
    <t>18939 W Industrial Pkwy, New Caney, TX 77357, United States</t>
  </si>
  <si>
    <t>Hit the road - IMST</t>
  </si>
  <si>
    <t>gasonline and diesel combined 100k</t>
  </si>
  <si>
    <t>West Villa Maria Road</t>
  </si>
  <si>
    <t>Deli300</t>
  </si>
  <si>
    <t>1 (2000)</t>
  </si>
  <si>
    <t>(3,18)</t>
  </si>
  <si>
    <t>2 (30ft)</t>
  </si>
  <si>
    <t>60,30</t>
  </si>
  <si>
    <t>1001 West Villa Maria Road, Bryan, TX</t>
  </si>
  <si>
    <t>30.63276077556631, -96.37011070045962</t>
  </si>
  <si>
    <t>v30Aug25 Production</t>
  </si>
  <si>
    <t>West Villa Maria Road - IMST</t>
  </si>
  <si>
    <t>gasonline and diesel combined 122k</t>
  </si>
  <si>
    <t>Existing</t>
  </si>
  <si>
    <t>Elsie Faye Heggins Street</t>
  </si>
  <si>
    <t>Existing GasStation</t>
  </si>
  <si>
    <t>(24, 4)</t>
  </si>
  <si>
    <t>70, 40</t>
  </si>
  <si>
    <t>2702 Elsie Faye Heggins Street, Dallas, TX - , TX 75215</t>
  </si>
  <si>
    <t>32.75479675700943, -96.75416218203564</t>
  </si>
  <si>
    <t>Elsie Faye Heggins Street - IMST</t>
  </si>
  <si>
    <t>1465 Egret Bay</t>
  </si>
  <si>
    <t>31.197268467358203, -96.7662776720635</t>
  </si>
  <si>
    <t>16874 Lookout Selma TX</t>
  </si>
  <si>
    <t>before v30Aug25 Production</t>
  </si>
  <si>
    <t>Deli-1000sqft</t>
  </si>
  <si>
    <t>2 (2500 sqft)</t>
  </si>
  <si>
    <t>(25,5)</t>
  </si>
  <si>
    <t>16874 Lookout Road, Schertz, TX - , TX 78154</t>
  </si>
  <si>
    <t>29.593308347057057, -98.31277614209438</t>
  </si>
  <si>
    <t>16874 Lookout Selma TX -IMST</t>
  </si>
  <si>
    <t>MRMR Investment</t>
  </si>
  <si>
    <t>(18, 4)</t>
  </si>
  <si>
    <t>2 (40 ft)</t>
  </si>
  <si>
    <t>N. Major Drive and Gladys Avenue Beaumont, Texas 77706</t>
  </si>
  <si>
    <t>30.090744752735972, -94.19058172615324</t>
  </si>
  <si>
    <t>(4, 18)</t>
  </si>
  <si>
    <t xml:space="preserve">8399 Gladys Ave, Beaumont, TX 77706, USA - Jefferson County, TX 77706 </t>
  </si>
  <si>
    <t>8399 Gladys Ave, Beaumont, TX 77706, USA - Jefferson County, TX 77706 (3RR5+8P Beaumont, Texas, USA)</t>
  </si>
  <si>
    <t>MRMR Investment - IMST</t>
  </si>
  <si>
    <t>Livingston</t>
  </si>
  <si>
    <t>2 (4000 sq ft)</t>
  </si>
  <si>
    <t>(6, 20)</t>
  </si>
  <si>
    <t>40, 40</t>
  </si>
  <si>
    <t>U.S. Highway 190 and Lion Avenue Livingston, Texas 77351</t>
  </si>
  <si>
    <t>30.711148308396744, -94.9199611796346</t>
  </si>
  <si>
    <t>v51 Staging</t>
  </si>
  <si>
    <t>v52 Local</t>
  </si>
  <si>
    <t>v58 Staging</t>
  </si>
  <si>
    <t>`</t>
  </si>
  <si>
    <t>Livingston - IMST</t>
  </si>
  <si>
    <t>Onalska</t>
  </si>
  <si>
    <t xml:space="preserve">U.S. Highway 190 and FM 3459 Onalaska, Texas 77351 </t>
  </si>
  <si>
    <t>Onalska - IMST</t>
  </si>
  <si>
    <t>Tri Food Mart Cstore</t>
  </si>
  <si>
    <t>1 (1800)</t>
  </si>
  <si>
    <t>2 (30 ft)</t>
  </si>
  <si>
    <t>502 Blume road, Rogenburg tx 77471</t>
  </si>
  <si>
    <t>29.548687655367043, -95.82757254888902</t>
  </si>
  <si>
    <t>Tri Food Mart Cstore - IMST</t>
  </si>
  <si>
    <t>Pop‐In C-Store Westpark Drive</t>
  </si>
  <si>
    <t>1 (3000)</t>
  </si>
  <si>
    <t>(3, 25)</t>
  </si>
  <si>
    <t>234, 297</t>
  </si>
  <si>
    <t>14911 Westpark dr, Houston tx 77082</t>
  </si>
  <si>
    <t>29.718418300532587, -95.65001854814693</t>
  </si>
  <si>
    <t>v3</t>
  </si>
  <si>
    <t>v4</t>
  </si>
  <si>
    <t>REST_5</t>
  </si>
  <si>
    <t xml:space="preserve">Westpark Drive and Summit Valley Drive Houston, Texas 77082 </t>
  </si>
  <si>
    <t>IMST - Pop‐In C-Store Westpark Drive</t>
  </si>
  <si>
    <t>V4U Deli</t>
  </si>
  <si>
    <t>2 (55 ft)</t>
  </si>
  <si>
    <t>7802 Hwy 6, Hitchcock, TX 77563, United States</t>
  </si>
  <si>
    <t>29.348697618337432, -95.0163323858892</t>
  </si>
  <si>
    <t>//</t>
  </si>
  <si>
    <t>V4U Deli - IMST</t>
  </si>
  <si>
    <t>Pearl land</t>
  </si>
  <si>
    <t>(4, 26)</t>
  </si>
  <si>
    <t>17331 Pearland Sites Rd, Pearland, TX 77584, USA</t>
  </si>
  <si>
    <t>29.521553092370922, -95.28871680601878</t>
  </si>
  <si>
    <t>v8</t>
  </si>
  <si>
    <t>-</t>
  </si>
  <si>
    <t>v11</t>
  </si>
  <si>
    <t>n</t>
  </si>
  <si>
    <t>v12</t>
  </si>
  <si>
    <t>v13</t>
  </si>
  <si>
    <t>(4, 20)</t>
  </si>
  <si>
    <t>1 (45 ft)</t>
  </si>
  <si>
    <t>Pearl land - IMST</t>
  </si>
  <si>
    <t>Circle K convenience facility</t>
  </si>
  <si>
    <t>(10,3)</t>
  </si>
  <si>
    <t>2 (40ft)</t>
  </si>
  <si>
    <t xml:space="preserve">17930 W. Little York Road Houston, Texas 77084 </t>
  </si>
  <si>
    <t>29.86566165670694, -95.68288794138734</t>
  </si>
  <si>
    <t>(3, 10)</t>
  </si>
  <si>
    <t>Circle K convenience facility - IMST</t>
  </si>
  <si>
    <t>Jarrell Site</t>
  </si>
  <si>
    <t>(24,8)</t>
  </si>
  <si>
    <t>1921 County Road 313, Jarrell, TX 76537, USA , TX 76537</t>
  </si>
  <si>
    <t>30.80886746275596, -97.585540835062</t>
  </si>
  <si>
    <t>(8,24)</t>
  </si>
  <si>
    <t>Jarrell Site - IMST</t>
  </si>
  <si>
    <t>Navasota</t>
  </si>
  <si>
    <t>v58 Prod</t>
  </si>
  <si>
    <t xml:space="preserve">2 (3000) </t>
  </si>
  <si>
    <t>(2,15)</t>
  </si>
  <si>
    <t xml:space="preserve">701 West Washington Avenue, Navasota, TX, USA , TX 77868 </t>
  </si>
  <si>
    <t>Navasota - IMST</t>
  </si>
  <si>
    <t>Jetall Plaza</t>
  </si>
  <si>
    <t>Deli (300)</t>
  </si>
  <si>
    <t>5 with total sq ft 9400</t>
  </si>
  <si>
    <t>(2, 24)</t>
  </si>
  <si>
    <t>100, 30</t>
  </si>
  <si>
    <t>8098 Westheimer Rd. Houston, TX</t>
  </si>
  <si>
    <t>Jetall Plaza - IMST</t>
  </si>
  <si>
    <t>6125 Windsor Plaza  (done by me)</t>
  </si>
  <si>
    <t>1 with total of 2440</t>
  </si>
  <si>
    <t>(2,22)</t>
  </si>
  <si>
    <t>60,60</t>
  </si>
  <si>
    <t>6125 South Sam Houston Parkway East, Houston, TX, USA, TX 77048</t>
  </si>
  <si>
    <t>6125 Windsor Plaza  (done by Naveed - 24H)</t>
  </si>
  <si>
    <t>(2,23)</t>
  </si>
  <si>
    <t>6125 Windsor Plaza  (done by Naveed - Not 24H)</t>
  </si>
  <si>
    <t>6125 Windsor Plaza  (Ali - 24H)</t>
  </si>
  <si>
    <t>6125 Windsor Plaza  (Ali - Not 24H)</t>
  </si>
  <si>
    <t>v69 Production</t>
  </si>
  <si>
    <t>Windsor - IMST</t>
  </si>
  <si>
    <t>Fresco Market</t>
  </si>
  <si>
    <t>2 acre</t>
  </si>
  <si>
    <t>(21,8)</t>
  </si>
  <si>
    <t>3 (30)</t>
  </si>
  <si>
    <t>50,90</t>
  </si>
  <si>
    <t>N. Alexander Drive and E. Texas Avenue Baytown, Texas 77520 (P2HR+MW Baytown, Texas, USA)</t>
  </si>
  <si>
    <t>Fresco Market - IMST</t>
  </si>
  <si>
    <t>Vector Point Investment</t>
  </si>
  <si>
    <t>6.2 acre</t>
  </si>
  <si>
    <t>Deli 500</t>
  </si>
  <si>
    <t>(18,16)</t>
  </si>
  <si>
    <t>2 (70)</t>
  </si>
  <si>
    <t>70, 30</t>
  </si>
  <si>
    <t>FM 517 &amp; Briar Hollow Dr., Dickinson, TX 77539, USA</t>
  </si>
  <si>
    <t>29.466254093037698, -95.02439936896214</t>
  </si>
  <si>
    <t>Vector Point Investment - IMST</t>
  </si>
  <si>
    <t>Taj RV and Truck Stop</t>
  </si>
  <si>
    <t>V95 Staging</t>
  </si>
  <si>
    <t>TruckStop</t>
  </si>
  <si>
    <t>QSR: 2540, DELI: 1000</t>
  </si>
  <si>
    <t>(3, 16)</t>
  </si>
  <si>
    <t>2 (30)</t>
  </si>
  <si>
    <t>40, 30</t>
  </si>
  <si>
    <t>11450 U.S. 87, Victoria, TX 77905 - , TX 77905</t>
  </si>
  <si>
    <t>V99</t>
  </si>
  <si>
    <t>v99 staging</t>
  </si>
  <si>
    <t>v100</t>
  </si>
  <si>
    <t>708,535_x000D_</t>
  </si>
  <si>
    <t>QSR: 2540</t>
  </si>
  <si>
    <t>(3,16)</t>
  </si>
  <si>
    <t>2(30)</t>
  </si>
  <si>
    <t>40,30</t>
  </si>
  <si>
    <t>v101</t>
  </si>
  <si>
    <t>9,602,336_x000D_</t>
  </si>
  <si>
    <t>v102</t>
  </si>
  <si>
    <t>10,095,459_x000D_</t>
  </si>
  <si>
    <t>v103</t>
  </si>
  <si>
    <t>943,399_x000D_</t>
  </si>
  <si>
    <t>154,450_x000D_</t>
  </si>
  <si>
    <t>(3,13)</t>
  </si>
  <si>
    <t>v104</t>
  </si>
  <si>
    <t>QSR: 2540,Deli:1000</t>
  </si>
  <si>
    <t>9,941,066_x000D_</t>
  </si>
  <si>
    <t>truckStop-basic</t>
  </si>
  <si>
    <t>941,644_x000D_</t>
  </si>
  <si>
    <t>truckStop-full service</t>
  </si>
  <si>
    <t>1,343,640_x000D_</t>
  </si>
  <si>
    <t>truckStop-premium</t>
  </si>
  <si>
    <t>v105 Production</t>
  </si>
  <si>
    <t>Taj RV and Truck Stop - IMST</t>
  </si>
  <si>
    <t>El Paisano Meat Market</t>
  </si>
  <si>
    <t>Gas station</t>
  </si>
  <si>
    <t>El Paisano Meat Market 2311 Parker Rd, Houston, TX 77093</t>
  </si>
  <si>
    <t>Bay Area Blvd</t>
  </si>
  <si>
    <t>FM 518 and Maple Leaf Drive League City, Texas 77573</t>
  </si>
  <si>
    <t>Alpha Pflugerville Site</t>
  </si>
  <si>
    <t>2F and 1C</t>
  </si>
  <si>
    <t>NEC CR 138 and TX 130</t>
  </si>
  <si>
    <t>QSR (2500)</t>
  </si>
  <si>
    <t>2 with 8000 sq ft total (2500 for qsr deducted from 9k, and 1500 for officed added)</t>
  </si>
  <si>
    <t>Alpha Pflugerville Site - IMST</t>
  </si>
  <si>
    <t>IMST with FoodService 2500sqft, and 20 fueling position</t>
  </si>
  <si>
    <t>Fenn road</t>
  </si>
  <si>
    <t>v99</t>
  </si>
  <si>
    <t>2500 qsr</t>
  </si>
  <si>
    <t>6,20</t>
  </si>
  <si>
    <t>2 (40,40)</t>
  </si>
  <si>
    <t>FM 521 and Fenn road Arcola, texas</t>
  </si>
  <si>
    <t>Fenn road - IMST</t>
  </si>
  <si>
    <t>Mykawa Road</t>
  </si>
  <si>
    <t>1 WITH 5000</t>
  </si>
  <si>
    <t>6,18</t>
  </si>
  <si>
    <t>Mykawa Road and S. Acres Drive Houston, Texas 77048</t>
  </si>
  <si>
    <t>Mykawa Road - IMST</t>
  </si>
  <si>
    <t>BP NewYork</t>
  </si>
  <si>
    <t>v105</t>
  </si>
  <si>
    <t>404,648_x000D_</t>
  </si>
  <si>
    <t>Truck stop</t>
  </si>
  <si>
    <t>4,18</t>
  </si>
  <si>
    <t>(30,30)</t>
  </si>
  <si>
    <t>1381 Atlantic Ave, Brooklyn, NY 11216, USA</t>
  </si>
  <si>
    <t>40.6784313393756, -73.94449333481606</t>
  </si>
  <si>
    <t>Truckstop</t>
  </si>
  <si>
    <t>op</t>
  </si>
  <si>
    <t>Florida</t>
  </si>
  <si>
    <t>Gas Station</t>
  </si>
  <si>
    <t>2(50, 30)</t>
  </si>
  <si>
    <t>(60,30)</t>
  </si>
  <si>
    <t>700 SW 2nd Ave, Miami, FL 33130, USA</t>
  </si>
  <si>
    <t>25.76699868165101, -80.1976433822523</t>
  </si>
  <si>
    <t>San Fransisco</t>
  </si>
  <si>
    <t>3 with a total of 1200</t>
  </si>
  <si>
    <t>3 (40,40,30)</t>
  </si>
  <si>
    <t>6002 Geary Blvd, San Francisco, CA 94121, USA</t>
  </si>
  <si>
    <t>37.78040257974145, -122.4840915671302</t>
  </si>
  <si>
    <t>Crown Petroleum, Jefferson, Missouri</t>
  </si>
  <si>
    <t>3 (25, 25, 25)</t>
  </si>
  <si>
    <t>(40, 50)</t>
  </si>
  <si>
    <t>666 Jefferson St, Jefferson City, MO 65101, USA</t>
  </si>
  <si>
    <t>vector point investment</t>
  </si>
  <si>
    <t>16,18</t>
  </si>
  <si>
    <t>scarsdale</t>
  </si>
  <si>
    <t>6,22</t>
  </si>
  <si>
    <t>12480 scarsdale boulevard and fairbury drive houston , texas 77089</t>
  </si>
  <si>
    <t>scarsdale - IMST</t>
  </si>
  <si>
    <t>imst</t>
  </si>
  <si>
    <t>sharif praslza</t>
  </si>
  <si>
    <t>6.7 acres</t>
  </si>
  <si>
    <t>6,26</t>
  </si>
  <si>
    <t>sharif prasla sorters road porter, texas 77365</t>
  </si>
  <si>
    <t>30.092211, -95.274719</t>
  </si>
  <si>
    <t>Travel Center</t>
  </si>
  <si>
    <t>5 acre</t>
  </si>
  <si>
    <t>8,18</t>
  </si>
  <si>
    <t>yes</t>
  </si>
  <si>
    <t>Interstate 45 (Exit #152) and OSR Highway Leona, Texas 75850</t>
  </si>
  <si>
    <t>31.09304363210819, -95.95832466436468</t>
  </si>
  <si>
    <t>Travel Center - IMST</t>
  </si>
  <si>
    <t>Krystal RK LLC</t>
  </si>
  <si>
    <t>4,25</t>
  </si>
  <si>
    <t>Interstate 10 and FM 169 Sealy, Texas 77434</t>
  </si>
  <si>
    <t>Krystal RK LLC - IMST</t>
  </si>
  <si>
    <t>14 acre</t>
  </si>
  <si>
    <t>Culebra road</t>
  </si>
  <si>
    <t>1/10/25 staging</t>
  </si>
  <si>
    <t>16,4</t>
  </si>
  <si>
    <t>no</t>
  </si>
  <si>
    <t>8058 Culebra Road, San Antonio, Bexar County, TX 78251</t>
  </si>
  <si>
    <t>29493, 37926</t>
  </si>
  <si>
    <t>Sample Process</t>
  </si>
  <si>
    <t>21/10/2025 Production</t>
  </si>
  <si>
    <t>2500,2</t>
  </si>
  <si>
    <t>4,26</t>
  </si>
  <si>
    <t>3818 Decker Dr, Baytown, TX 77520, USA - , TX 77521</t>
  </si>
  <si>
    <t>site</t>
  </si>
  <si>
    <t xml:space="preserve">total area sqft </t>
  </si>
  <si>
    <t>bedrooms</t>
  </si>
  <si>
    <t>valuation</t>
  </si>
  <si>
    <t>location</t>
  </si>
  <si>
    <t>condo</t>
  </si>
  <si>
    <t>2100 Huldy St Apt 9, Houston, TX 77019</t>
  </si>
  <si>
    <t>realtor</t>
  </si>
  <si>
    <t>cottage</t>
  </si>
  <si>
    <t>1935 Cottage Ave E, St Paul, MN 55119, USA -</t>
  </si>
  <si>
    <t xml:space="preserve">version </t>
  </si>
  <si>
    <t xml:space="preserve">valuation </t>
  </si>
  <si>
    <t>forecast</t>
  </si>
  <si>
    <t>gross oi</t>
  </si>
  <si>
    <t xml:space="preserve">operating expense </t>
  </si>
  <si>
    <t>noi</t>
  </si>
  <si>
    <t xml:space="preserve">land value </t>
  </si>
  <si>
    <t xml:space="preserve">construction cost </t>
  </si>
  <si>
    <t>store size</t>
  </si>
  <si>
    <t>store type</t>
  </si>
  <si>
    <t>curl</t>
  </si>
  <si>
    <t>randells</t>
  </si>
  <si>
    <t>3131 W Holcombe Blvd, Houston, TX 77025, United States</t>
  </si>
  <si>
    <t>supermarket</t>
  </si>
  <si>
    <t>curl 'https://staging.tezintel.com/api/GroceryViewSet/' \
  -H 'Accept: application/json, text/plain, */*' \
  -H 'Accept-Language: en-US,en;q=0.9,ur-US;q=0.8,ur;q=0.7,ar;q=0.6' \
  -H 'Authorization: Bearer eyJhbGciOiJIUzI1NiIsInR5cCI6IkpXVCJ9.eyJ0b2tlbl90eXBlIjoiYWNjZXNzIiwiZXhwIjoxNzM2MjUyNzU0LCJpYXQiOjE3MzYyNDE5NTQsImp0aSI6IjUyMGVkNDc1Y2FkZDQ4NWVhMjY2YTFlZTczZmFlYWRhIiwidXNlcl9pZCI6MTgzLCJ1c2VybmFtZSI6InNtYXMxQGxpdmUuY29tIn0.BE2UWgkMYVjMAaXich5EgDZUx2EZs-fbLArLTZw1ntE' \
  -H 'Connection: keep-alive' \
  -H 'Content-Type: multipart/form-data; boundary=----WebKitFormBoundaryfni2pKg70J4AGSjt' \
  -H 'Origin: http://localhost:5173' \
  -H 'Referer: http://localhost:5173/' \
  -H 'Sec-Fetch-Dest: empty' \
  -H 'Sec-Fetch-Mode: cors' \
  -H 'Sec-Fetch-Site: cross-site' \
  -H 'User-Agent: Mozilla/5.0 (Windows NT 10.0; Win64; x64) AppleWebKit/537.36 (KHTML, like Gecko) Chrome/131.0.0.0 Safari/537.36' \
  -H 'sec-ch-ua: "Google Chrome";v="131", "Chromium";v="131", "Not_A Brand";v="24"' \
  -H 'sec-ch-ua-mobile: ?0' \
  -H 'sec-ch-ua-platform: "Windows"' \
  --data-raw $'------WebKitFormBoundaryfni2pKg70J4AGSjt\r\nContent-Disposition: form-data; name="name"\r\n\r\nrandells\r\n------WebKitFormBoundaryfni2pKg70J4AGSjt\r\nContent-Disposition: form-data; name="project_type"\r\n\r\nprojectval\r\n------WebKitFormBoundaryfni2pKg70J4AGSjt\r\nContent-Disposition: form-data; name="facility_type"\r\n\r\ngrocery\r\n------WebKitFormBoundaryfni2pKg70J4AGSjt\r\nContent-Disposition: form-data; name="development_type"\r\n\r\nnew\r\n------WebKitFormBoundaryfni2pKg70J4AGSjt\r\nContent-Disposition: form-data; name="business_leads"\r\n\r\n[{"business_type_id":1,"isLeads":true,"isSendReport":true},{"business_type_id":2,"isLeads":true,"isSendReport":true},{"business_type_id":3,"isLeads":true,"isSendReport":true},{"business_type_id":4,"isLeads":true,"isSendReport":true},{"business_type_id":5,"isLeads":true,"isSendReport":true},{"business_type_id":6,"isLeads":true,"isSendReport":true}]\r\n------WebKitFormBoundaryfni2pKg70J4AGSjt\r\nContent-Disposition: form-data; name="grocery_sites"\r\n\r\n[{"report_title":"randells","state":"TX","total_area_sqft":6000,"address":"3131 W Holcombe Blvd, Houston, TX 77025, United States","lat":29.7047527,"lng":-95.4254575,"frontage_footage_pri":10,"frontage_footage_sec":10,"is_functioning_retail":"no","is_24hour":"yes","store_type":"supermarket","services":"home_delivery,dining","store_sections":"grocery,bakery,produce,frozen,dairy,toiletries,alcohol,household_goods,specialty_sections,hardware,pharmacy,floral,festive","valet":"yes","elevators":"no","escalators":"no","estimated_purchase_per_price_sq_ft":15,"interiorSitePlans":{},"exteriorSitePlans":{},"is_parking_space":"no"}]\r\n------WebKitFormBoundaryfni2pKg70J4AGSjt--\r\n'</t>
  </si>
  <si>
    <t xml:space="preserve">Mi Tienda </t>
  </si>
  <si>
    <t>3800 Little York Rd, Houston, TX 77093, United States</t>
  </si>
  <si>
    <t>curl 'https://staging.tezintel.com/api/GroceryViewSet/' \
  -H 'Accept: application/json, text/plain, */*' \
  -H 'Accept-Language: en-US,en;q=0.9,ur-US;q=0.8,ur;q=0.7,ar;q=0.6' \
  -H 'Authorization: Bearer eyJhbGciOiJIUzI1NiIsInR5cCI6IkpXVCJ9.eyJ0b2tlbl90eXBlIjoiYWNjZXNzIiwiZXhwIjoxNzM2MzM4Nzk1LCJpYXQiOjE3MzYzMjc5OTUsImp0aSI6IjRhNDBkYTFmNTA4ODRlNmRiZjI2MDcxNDVlZmRjNTNhIiwidXNlcl9pZCI6MTgzLCJ1c2VybmFtZSI6InNtYXMxQGxpdmUuY29tIn0.hu8t5uShFbP7xUdMSTIMMDDK9hhGG7M9ehOfE8ij9MY' \
  -H 'Connection: keep-alive' \
  -H 'Content-Type: multipart/form-data; boundary=----WebKitFormBoundaryXjI3yGC6BBe7iNHZ' \
  -H 'Origin: http://localhost:5173' \
  -H 'Referer: http://localhost:5173/' \
  -H 'Sec-Fetch-Dest: empty' \
  -H 'Sec-Fetch-Mode: cors' \
  -H 'Sec-Fetch-Site: cross-site' \
  -H 'User-Agent: Mozilla/5.0 (Windows NT 10.0; Win64; x64) AppleWebKit/537.36 (KHTML, like Gecko) Chrome/131.0.0.0 Safari/537.36' \
  -H 'sec-ch-ua: "Google Chrome";v="131", "Chromium";v="131", "Not_A Brand";v="24"' \
  -H 'sec-ch-ua-mobile: ?0' \
  -H 'sec-ch-ua-platform: "Windows"' \
  --data-raw $'------WebKitFormBoundaryXjI3yGC6BBe7iNHZ\r\nContent-Disposition: form-data; name="name"\r\n\r\nmi tienda\r\n------WebKitFormBoundaryXjI3yGC6BBe7iNHZ\r\nContent-Disposition: form-data; name="project_type"\r\n\r\nprojectval\r\n------WebKitFormBoundaryXjI3yGC6BBe7iNHZ\r\nContent-Disposition: form-data; name="facility_type"\r\n\r\ngrocery\r\n------WebKitFormBoundaryXjI3yGC6BBe7iNHZ\r\nContent-Disposition: form-data; name="development_type"\r\n\r\nnew\r\n------WebKitFormBoundaryXjI3yGC6BBe7iNHZ\r\nContent-Disposition: form-data; name="business_leads"\r\n\r\n[]\r\n------WebKitFormBoundaryXjI3yGC6BBe7iNHZ\r\nContent-Disposition: form-data; name="grocery_sites"\r\n\r\n[{"report_title":"mi tienda","state":"TX","total_area_sqft":10000,"address":"3800 Little York Rd, Houston, TX 77093, United States","lat":29.8697572,"lng":-95.33332539999999,"frontage_footage_pri":10,"frontage_footage_sec":10,"is_functioning_retail":"no","is_24hour":"yes","store_type":"supermarket","services":"home_delivery,dining","store_sections":"grocery,bakery,produce,frozen,dairy,toiletries,alcohol,household_goods,specialty_sections,hardware,pharmacy,floral,festive","valet":"yes","elevators":"no","escalators":"no","estimated_purchase_per_price_sq_ft":15,"interiorSitePlans":{},"exteriorSitePlans":{},"is_parking_space":"no"}]\r\n------WebKitFormBoundaryXjI3yGC6BBe7iNHZ\r\nContent-Disposition: form-data; name="pid"\r\n\r\n2062\r\n------WebKitFormBoundaryXjI3yGC6BBe7iNHZ\r\nContent-Disposition: form-data; name="grocery_obj"\r\n\r\n209\r\n------WebKitFormBoundaryXjI3yGC6BBe7iNHZ--\r\n'</t>
  </si>
  <si>
    <t>Food Town</t>
  </si>
  <si>
    <t>2770 North Sam Houston Pkwy W, Houston, TX 77038, United States</t>
  </si>
  <si>
    <t>curl 'https://staging.tezintel.com/api/GroceryViewSet/' \
  -H 'Accept: application/json, text/plain, */*' \
  -H 'Accept-Language: en-US,en;q=0.9,ur-US;q=0.8,ur;q=0.7,ar;q=0.6' \
  -H 'Authorization: Bearer eyJhbGciOiJIUzI1NiIsInR5cCI6IkpXVCJ9.eyJ0b2tlbl90eXBlIjoiYWNjZXNzIiwiZXhwIjoxNzM2MzM4Nzk1LCJpYXQiOjE3MzYzMjc5OTUsImp0aSI6IjRhNDBkYTFmNTA4ODRlNmRiZjI2MDcxNDVlZmRjNTNhIiwidXNlcl9pZCI6MTgzLCJ1c2VybmFtZSI6InNtYXMxQGxpdmUuY29tIn0.hu8t5uShFbP7xUdMSTIMMDDK9hhGG7M9ehOfE8ij9MY' \
  -H 'Connection: keep-alive' \
  -H 'Content-Type: multipart/form-data; boundary=----WebKitFormBoundaryrpytC4hxCoNnFCUw' \
  -H 'Origin: http://localhost:5173' \
  -H 'Referer: http://localhost:5173/' \
  -H 'Sec-Fetch-Dest: empty' \
  -H 'Sec-Fetch-Mode: cors' \
  -H 'Sec-Fetch-Site: cross-site' \
  -H 'User-Agent: Mozilla/5.0 (Windows NT 10.0; Win64; x64) AppleWebKit/537.36 (KHTML, like Gecko) Chrome/131.0.0.0 Safari/537.36' \
  -H 'sec-ch-ua: "Google Chrome";v="131", "Chromium";v="131", "Not_A Brand";v="24"' \
  -H 'sec-ch-ua-mobile: ?0' \
  -H 'sec-ch-ua-platform: "Windows"' \
  --data-raw $'------WebKitFormBoundaryrpytC4hxCoNnFCUw\r\nContent-Disposition: form-data; name="name"\r\n\r\nfood town\r\n------WebKitFormBoundaryrpytC4hxCoNnFCUw\r\nContent-Disposition: form-data; name="project_type"\r\n\r\nprojectval\r\n------WebKitFormBoundaryrpytC4hxCoNnFCUw\r\nContent-Disposition: form-data; name="facility_type"\r\n\r\ngrocery\r\n------WebKitFormBoundaryrpytC4hxCoNnFCUw\r\nContent-Disposition: form-data; name="development_type"\r\n\r\nnew\r\n------WebKitFormBoundaryrpytC4hxCoNnFCUw\r\nContent-Disposition: form-data; name="business_leads"\r\n\r\n[]\r\n------WebKitFormBoundaryrpytC4hxCoNnFCUw\r\nContent-Disposition: form-data; name="grocery_sites"\r\n\r\n[{"report_title":"food town","state":"TX","total_area_sqft":7000,"address":"Inside Food Town, 2770 North Sam Houston Pkwy W, Houston, TX 77038, United States","lat":29.9404778,"lng":-95.4612355,"frontage_footage_pri":10,"frontage_footage_sec":10,"is_functioning_retail":"no","is_24hour":"yes","store_type":"supermarket","services":"home_delivery,dining","store_sections":"grocery,bakery,produce,frozen,dairy,toiletries,alcohol,household_goods,specialty_sections,hardware,pharmacy,floral,festive","valet":"yes","type_of_parking_space":"shared_lot","elevators":"no","escalators":"no","estimated_purchase_per_price_sq_ft":20,"interiorSitePlans":{},"exteriorSitePlans":{},"is_parking_space":"yes"}]\r\n------WebKitFormBoundaryrpytC4hxCoNnFCUw\r\nContent-Disposition: form-data; name="pid"\r\n\r\n2064\r\n------WebKitFormBoundaryrpytC4hxCoNnFCUw\r\nContent-Disposition: form-data; name="grocery_obj"\r\n\r\n211\r\n------WebKitFormBoundaryrpytC4hxCoNnFCUw--\r\n'</t>
  </si>
  <si>
    <t>whole food store</t>
  </si>
  <si>
    <t>11041 Westheimer Rd, Houston, TX 77042, United States</t>
  </si>
  <si>
    <t>curl 'https://staging.tezintel.com/api/GroceryViewSet/' \
  -H 'Accept: application/json, text/plain, */*' \
  -H 'Accept-Language: en-US,en;q=0.9,ur-US;q=0.8,ur;q=0.7,ar;q=0.6' \
  -H 'Authorization: Bearer eyJhbGciOiJIUzI1NiIsInR5cCI6IkpXVCJ9.eyJ0b2tlbl90eXBlIjoiYWNjZXNzIiwiZXhwIjoxNzM2MzM4Nzk1LCJpYXQiOjE3MzYzMjc5OTUsImp0aSI6IjRhNDBkYTFmNTA4ODRlNmRiZjI2MDcxNDVlZmRjNTNhIiwidXNlcl9pZCI6MTgzLCJ1c2VybmFtZSI6InNtYXMxQGxpdmUuY29tIn0.hu8t5uShFbP7xUdMSTIMMDDK9hhGG7M9ehOfE8ij9MY' \
  -H 'Connection: keep-alive' \
  -H 'Content-Type: multipart/form-data; boundary=----WebKitFormBoundaryRDURojX33FnW1mck' \
  -H 'Origin: http://localhost:5173' \
  -H 'Referer: http://localhost:5173/' \
  -H 'Sec-Fetch-Dest: empty' \
  -H 'Sec-Fetch-Mode: cors' \
  -H 'Sec-Fetch-Site: cross-site' \
  -H 'User-Agent: Mozilla/5.0 (Windows NT 10.0; Win64; x64) AppleWebKit/537.36 (KHTML, like Gecko) Chrome/131.0.0.0 Safari/537.36' \
  -H 'sec-ch-ua: "Google Chrome";v="131", "Chromium";v="131", "Not_A Brand";v="24"' \
  -H 'sec-ch-ua-mobile: ?0' \
  -H 'sec-ch-ua-platform: "Windows"' \
  --data-raw $'------WebKitFormBoundaryRDURojX33FnW1mck\r\nContent-Disposition: form-data; name="name"\r\n\r\nwhole food store\r\n------WebKitFormBoundaryRDURojX33FnW1mck\r\nContent-Disposition: form-data; name="project_type"\r\n\r\nprojectval\r\n------WebKitFormBoundaryRDURojX33FnW1mck\r\nContent-Disposition: form-data; name="facility_type"\r\n\r\ngrocery\r\n------WebKitFormBoundaryRDURojX33FnW1mck\r\nContent-Disposition: form-data; name="development_type"\r\n\r\nnew\r\n------WebKitFormBoundaryRDURojX33FnW1mck\r\nContent-Disposition: form-data; name="business_leads"\r\n\r\n[]\r\n------WebKitFormBoundaryRDURojX33FnW1mck\r\nContent-Disposition: form-data; name="grocery_sites"\r\n\r\n[{"report_title":"whole food store","state":"TX","total_area_sqft":11000,"address":"11041 Westheimer Rd, Houston, TX 77042, United States","lat":29.7351018,"lng":-95.5704246,"frontage_footage_pri":10,"frontage_footage_sec":10,"is_functioning_retail":"no","is_24hour":"yes","store_type":"supermarket","services":"home_delivery,dining","store_sections":"grocery,bakery,produce,frozen,dairy,toiletries,alcohol,household_goods,specialty_sections,hardware,pharmacy,floral,festive","valet":"yes","elevators":"no","escalators":"no","estimated_purchase_per_price_sq_ft":20,"interiorSitePlans":{},"exteriorSitePlans":{},"is_parking_space":"no"}]\r\n------WebKitFormBoundaryRDURojX33FnW1mck\r\nContent-Disposition: form-data; name="pid"\r\n\r\n2066\r\n------WebKitFormBoundaryRDURojX33FnW1mck\r\nContent-Disposition: form-data; name="grocery_obj"\r\n\r\n213\r\n------WebKitFormBoundaryRDURojX33FnW1mck--\r\n'</t>
  </si>
  <si>
    <t>H-E-B</t>
  </si>
  <si>
    <t>1345 Barrow St, Abilene, TX 79605, United States</t>
  </si>
  <si>
    <t>curl 'https://staging.tezintel.com/api/GroceryViewSet/' \
  -H 'Accept: application/json, text/plain, */*' \
  -H 'Accept-Language: en-US,en;q=0.9,ur-US;q=0.8,ur;q=0.7,ar;q=0.6' \
  -H 'Authorization: Bearer eyJhbGciOiJIUzI1NiIsInR5cCI6IkpXVCJ9.eyJ0b2tlbl90eXBlIjoiYWNjZXNzIiwiZXhwIjoxNzM2NDI3Mzc2LCJpYXQiOjE3MzY0MTY1NzYsImp0aSI6ImE0OGY5ZTY5ZTRlZTRkYzc4N2ZjMWIzYTQ0ZGQ3Zjc5IiwidXNlcl9pZCI6MTgzLCJ1c2VybmFtZSI6InNtYXMxQGxpdmUuY29tIn0.DgHsDoJcNO9vIIhB2N1Mv9gP2OiitV0mhZ40BWWVDDo' \
  -H 'Connection: keep-alive' \
  -H 'Content-Type: multipart/form-data; boundary=----WebKitFormBoundaryPAFqUkhnL1GbP0YO' \
  -H 'Origin: http://localhost:5173' \
  -H 'Referer: http://localhost:5173/' \
  -H 'Sec-Fetch-Dest: empty' \
  -H 'Sec-Fetch-Mode: cors' \
  -H 'Sec-Fetch-Site: cross-site' \
  -H 'User-Agent: Mozilla/5.0 (Windows NT 10.0; Win64; x64) AppleWebKit/537.36 (KHTML, like Gecko) Chrome/131.0.0.0 Safari/537.36' \
  -H 'sec-ch-ua: "Google Chrome";v="131", "Chromium";v="131", "Not_A Brand";v="24"' \
  -H 'sec-ch-ua-mobile: ?0' \
  -H 'sec-ch-ua-platform: "Windows"' \
  --data-raw $'------WebKitFormBoundaryPAFqUkhnL1GbP0YO\r\nContent-Disposition: form-data; name="name"\r\n\r\nh-e-b\r\n------WebKitFormBoundaryPAFqUkhnL1GbP0YO\r\nContent-Disposition: form-data; name="project_type"\r\n\r\nprojectval\r\n------WebKitFormBoundaryPAFqUkhnL1GbP0YO\r\nContent-Disposition: form-data; name="facility_type"\r\n\r\ngrocery\r\n------WebKitFormBoundaryPAFqUkhnL1GbP0YO\r\nContent-Disposition: form-data; name="development_type"\r\n\r\nnew\r\n------WebKitFormBoundaryPAFqUkhnL1GbP0YO\r\nContent-Disposition: form-data; name="business_leads"\r\n\r\n[]\r\n------WebKitFormBoundaryPAFqUkhnL1GbP0YO\r\nContent-Disposition: form-data; name="grocery_sites"\r\n\r\n[{"report_title":"h-e-b","state":"TX","total_area_sqft":14500,"address":"1345 Barrow Street, Abilene, TX","lat":32.4327775,"lng":-99.759046,"frontage_footage_pri":10,"frontage_footage_sec":10,"is_functioning_retail":"no","is_24hour":"yes","store_type":"supermarket","services":"home_delivery,dining","store_sections":"grocery,bakery,produce,frozen,dairy,toiletries,alcohol,household_goods,specialty_sections,hardware,pharmacy,floral,festive","valet":"yes","elevators":"no","escalators":"no","estimated_purchase_per_price_sq_ft":15,"interiorSitePlans":{},"exteriorSitePlans":{},"is_parking_space":"no"}]\r\n------WebKitFormBoundaryPAFqUkhnL1GbP0YO\r\nContent-Disposition: form-data; name="pid"\r\n\r\n2072\r\n------WebKitFormBoundaryPAFqUkhnL1GbP0YO\r\nContent-Disposition: form-data; name="grocery_obj"\r\n\r\n215\r\n------WebKitFormBoundaryPAFqUkhnL1GbP0YO--\r\n'</t>
  </si>
  <si>
    <t>baytown supermarket</t>
  </si>
  <si>
    <t xml:space="preserve">Fresco Marketplace 100 N. Alexander Drive and E. Texas Avenue Baytown, Texas 77520 </t>
  </si>
  <si>
    <t>curl 'https://staging.tezintel.com/api/GroceryViewSet/' \
  -H 'sec-ch-ua-platform: "Windows"' \
  -H 'Authorization: Bearer eyJhbGciOiJIUzI1NiIsInR5cCI6IkpXVCJ9.eyJ0b2tlbl90eXBlIjoiYWNjZXNzIiwiZXhwIjoxNzM3MTAyMDk2LCJpYXQiOjE3MzcwOTEyOTYsImp0aSI6ImU5ODhkZWMyY2E1ZjRiMGJhMTgyNDhjODZjZWMwMDhjIiwidXNlcl9pZCI6MTgzLCJ1c2VybmFtZSI6InNtYXMxQGxpdmUuY29tIn0.v6vXB9t_Ju8bWiYmZcXlPQXQ1n5S35A1EVw2TuQnESQ' \
  -H 'Referer: http://localhost:5173/' \
  -H 'sec-ch-ua: "Google Chrome";v="131", "Chromium";v="131", "Not_A Brand";v="24"' \
  -H 'sec-ch-ua-mobile: ?0' \
  -H 'User-Agent: Mozilla/5.0 (Windows NT 10.0; Win64; x64) AppleWebKit/537.36 (KHTML, like Gecko) Chrome/131.0.0.0 Safari/537.36' \
  -H 'Accept: application/json, text/plain, */*' \
  -H 'Content-Type: multipart/form-data; boundary=----WebKitFormBoundaryMjAzQfkkPCIWs912' \
  --data-raw $'------WebKitFormBoundaryMjAzQfkkPCIWs912\r\nContent-Disposition: form-data; name="name"\r\n\r\nbaytown\r\n------WebKitFormBoundaryMjAzQfkkPCIWs912\r\nContent-Disposition: form-data; name="project_type"\r\n\r\nprojectval\r\n------WebKitFormBoundaryMjAzQfkkPCIWs912\r\nContent-Disposition: form-data; name="facility_type"\r\n\r\ngrocery\r\n------WebKitFormBoundaryMjAzQfkkPCIWs912\r\nContent-Disposition: form-data; name="development_type"\r\n\r\nnew\r\n------WebKitFormBoundaryMjAzQfkkPCIWs912\r\nContent-Disposition: form-data; name="business_leads"\r\n\r\n[]\r\n------WebKitFormBoundaryMjAzQfkkPCIWs912\r\nContent-Disposition: form-data; name="grocery_sites"\r\n\r\n[{"report_title":"baytown","state":"TX","total_area_sqft":41382,"address":"North Alexander Drive &amp; East Texas Avenue, Baytown, TX","lat":29.729115,"lng":-94.9585908,"frontage_footage_pri":10,"frontage_footage_sec":10,"is_functioning_retail":"no","is_24hour":"no","store_type":"supermarket","services":"home_delivery,dining","store_sections":"grocery,bakery,produce,frozen,dairy,toiletries,alcohol,household_goods,specialty_sections,hardware,pharmacy,floral,festive","valet":"no","type_of_parking_space":"dedicated_lot","elevators":"no","escalators":"no","estimated_purchase_per_price_sq_ft":10,"interiorSitePlans":{},"exteriorSitePlans":{},"is_parking_space":"yes","no_of_floors":"0"}]\r\n------WebKitFormBoundaryMjAzQfkkPCIWs912\r\nContent-Disposition: form-data; name="pid"\r\n\r\n2083\r\n------WebKitFormBoundaryMjAzQfkkPCIWs912\r\nContent-Disposition: form-data; name="grocery_obj"\r\n\r\n217\r\n------WebKitFormBoundaryMjAzQfkkPCIWs912--\r\n'</t>
  </si>
  <si>
    <t xml:space="preserve">Mpds </t>
  </si>
  <si>
    <t xml:space="preserve">Diesel hoses </t>
  </si>
  <si>
    <t>AGV</t>
  </si>
  <si>
    <t>ADV</t>
  </si>
  <si>
    <t>agv-ours</t>
  </si>
  <si>
    <t>adv-ours</t>
  </si>
  <si>
    <t>Error (Difference) - AGV</t>
  </si>
  <si>
    <t>Percentage Error - AGV</t>
  </si>
  <si>
    <t>Error (Difference) - ADV</t>
  </si>
  <si>
    <t>Percentage Error - ADV</t>
  </si>
  <si>
    <t>5008 US 96 Silsbee, TX 77656,USA</t>
  </si>
  <si>
    <t>agv= annual gasoline volume</t>
  </si>
  <si>
    <t>2020 S Harwood st , Dallas, TX 75215,USA</t>
  </si>
  <si>
    <t>adv = annual diesel volume</t>
  </si>
  <si>
    <t>475 FM 359, Richmond , TX 77406, USA</t>
  </si>
  <si>
    <t>18420 FM 529, Cypress, TX 77433,USA</t>
  </si>
  <si>
    <t>112 US 171 , moss bluff , LA 70611,USA</t>
  </si>
  <si>
    <t xml:space="preserve">4900 Space center blvd, Pasadena,TX  77505,USA </t>
  </si>
  <si>
    <t xml:space="preserve">904 W Bar bours Cut Blvd , La Porte, TX 77571,USA </t>
  </si>
  <si>
    <t>9627 C E King Pkwy,houston, TX 77044,USA</t>
  </si>
  <si>
    <t>2795 Eastex Fwy,Beaumount, TX 77706,USA</t>
  </si>
  <si>
    <t xml:space="preserve">5115 S Mason Rd , Katy, TX 77450,USA </t>
  </si>
  <si>
    <t>750 Enterprise Blvd, Lake Charles, LA 70601,USA</t>
  </si>
  <si>
    <t>6841 N Fry Rd, Katy, TX 77449, USA</t>
  </si>
  <si>
    <t>2403 N Fitzhugh Ave, Dallas, TX 75214, United States</t>
  </si>
  <si>
    <t>3001 FM1765, La Marque, TX 77568, USA</t>
  </si>
  <si>
    <t>901 E Main Ave, Robstown, TX 78380, USA</t>
  </si>
  <si>
    <t>12210 Galveston Rd, Webster, TX 77598, USA</t>
  </si>
  <si>
    <t>1925 4th St, Rosenberg, TX 77471, USA</t>
  </si>
  <si>
    <t>1205 E University Dr, Denton, TX 76209, USA</t>
  </si>
  <si>
    <t>4201 Pasadena Blvd, Pasadena, TX 77503, USA</t>
  </si>
  <si>
    <t>12521 FM 1464, Sugar Land, TX 77498, USA</t>
  </si>
  <si>
    <t>8450 Gulf Fwy, Houston, TX 77017, USA</t>
  </si>
  <si>
    <t>6901 Navigation Blvd, Houston, TX 77011, USA</t>
  </si>
  <si>
    <t>122 Atascocita Road, Humble, TX 77396, USA</t>
  </si>
  <si>
    <t>5101 Airport Fwy, Haltom City, TX 76117, USA</t>
  </si>
  <si>
    <t>1632 Storey Ln, Dallas, TX 75220, USA</t>
  </si>
  <si>
    <t>9606 C F Hawn Fwy, Dallas, TX 75217, USA</t>
  </si>
  <si>
    <t>415 N Adams St, Welsh, LA 70591, USA</t>
  </si>
  <si>
    <t>105 TX-146, La Porte, TX 77571, USA</t>
  </si>
  <si>
    <t>2800 S Business Hwy 281, Edinburg, TX 78539, USA</t>
  </si>
  <si>
    <t>110 Texla Rd, Vidor, TX 77662, USA</t>
  </si>
  <si>
    <t>2016 Pine Park Blvd, Orange, TX 77632, USA</t>
  </si>
  <si>
    <t>4411 W Orem Dr, Houston, TX 77045, USA</t>
  </si>
  <si>
    <t>4344 E Lancaster Ave, Fort Worth, TX 76103, USA</t>
  </si>
  <si>
    <t>2410 N Main St, Vidor, TX 77662, USA</t>
  </si>
  <si>
    <t>301 S Sylvania Ave, Fort Worth, TX 76111, USA</t>
  </si>
  <si>
    <t>9535 Bruton Rd, Dallas, TX 75217, USA</t>
  </si>
  <si>
    <t>311 NW 25th St, Fort Worth, TX 76164, United States</t>
  </si>
  <si>
    <t>704 Byron Nelson Blvd, Roanoke, TX 76262, USA</t>
  </si>
  <si>
    <t>1200 Gulfway Dr, Port Arthur, TX 77640, United States</t>
  </si>
  <si>
    <t>3751 N Story Rd, Irving, TX 75062, USA</t>
  </si>
  <si>
    <t>2335 N Main St, Paris, TX 75460, USA</t>
  </si>
  <si>
    <t>7235 University Blvd, Winter Park, FL 32792, USA</t>
  </si>
  <si>
    <t>4520 Avenue H, Rosenberg, TX 77471, USA</t>
  </si>
  <si>
    <t>905 Main St, Hackberry, LA 70645, USA</t>
  </si>
  <si>
    <t>401 S Ellis St, Groesbeck, TX 76642, USA</t>
  </si>
  <si>
    <t>3701 US-377, Brownwood, TX 76801, USA</t>
  </si>
  <si>
    <t>13321 State Hwy. 198, Mabank, TX 75156, USA</t>
  </si>
  <si>
    <t>137 N Main St, Jay, OK 74346, USA</t>
  </si>
  <si>
    <t>102 W Main St, Bishop, TX 78343, USA</t>
  </si>
  <si>
    <t>7414 Mansfield Rd, Shreveport, LA 71108, USA</t>
  </si>
  <si>
    <t>3200 S Cooper St, Arlington, TX 76015, USA</t>
  </si>
  <si>
    <t>3702 Laura Koppe Rd, Houston, TX 77093, USA</t>
  </si>
  <si>
    <t>9201 N Loop E Fwy, Houston, TX 77029, USA</t>
  </si>
  <si>
    <t>8870 N Loop E Fwy, Houston, TX 77029, USA</t>
  </si>
  <si>
    <t>2101 RM 1431, Marble Falls, TX 78654, United States</t>
  </si>
  <si>
    <t>602 S Clark Rd, Duncanville, TX 75137,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</si>
</sst>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195F91"/>
      <name val="Menlo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68707A"/>
      <name val="Helvetica"/>
      <family val="2"/>
    </font>
    <font>
      <sz val="11"/>
      <color rgb="FFFFFFFF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Aptos Narrow"/>
    </font>
    <font>
      <sz val="12"/>
      <color rgb="FF2B2B2B"/>
      <name val="Galano Grotesque Alt"/>
      <charset val="1"/>
    </font>
    <font>
      <sz val="10"/>
      <color rgb="FF000000"/>
      <name val="Arial"/>
      <family val="2"/>
    </font>
    <font>
      <b/>
      <sz val="9"/>
      <color rgb="FF565E68"/>
      <name val="Helvetic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D0D0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3" fontId="0" fillId="5" borderId="0" xfId="0" applyNumberFormat="1" applyFill="1"/>
    <xf numFmtId="3" fontId="0" fillId="6" borderId="0" xfId="0" applyNumberFormat="1" applyFill="1"/>
    <xf numFmtId="0" fontId="2" fillId="7" borderId="0" xfId="0" applyFont="1" applyFill="1"/>
    <xf numFmtId="3" fontId="0" fillId="7" borderId="0" xfId="0" applyNumberFormat="1" applyFill="1"/>
    <xf numFmtId="0" fontId="0" fillId="7" borderId="0" xfId="0" applyFill="1"/>
    <xf numFmtId="0" fontId="2" fillId="8" borderId="0" xfId="0" applyFont="1" applyFill="1"/>
    <xf numFmtId="3" fontId="0" fillId="8" borderId="0" xfId="0" applyNumberFormat="1" applyFill="1"/>
    <xf numFmtId="0" fontId="0" fillId="8" borderId="0" xfId="0" applyFill="1"/>
    <xf numFmtId="3" fontId="0" fillId="4" borderId="0" xfId="0" applyNumberFormat="1" applyFill="1"/>
    <xf numFmtId="0" fontId="0" fillId="4" borderId="0" xfId="0" applyFill="1"/>
    <xf numFmtId="0" fontId="0" fillId="5" borderId="0" xfId="0" applyFill="1"/>
    <xf numFmtId="3" fontId="5" fillId="0" borderId="0" xfId="0" applyNumberFormat="1" applyFont="1"/>
    <xf numFmtId="0" fontId="4" fillId="0" borderId="0" xfId="0" applyFont="1"/>
    <xf numFmtId="0" fontId="6" fillId="0" borderId="0" xfId="0" applyFont="1"/>
    <xf numFmtId="3" fontId="0" fillId="2" borderId="0" xfId="0" applyNumberFormat="1" applyFill="1"/>
    <xf numFmtId="0" fontId="6" fillId="2" borderId="0" xfId="0" applyFont="1" applyFill="1"/>
    <xf numFmtId="0" fontId="0" fillId="2" borderId="0" xfId="0" applyFill="1"/>
    <xf numFmtId="4" fontId="2" fillId="2" borderId="0" xfId="0" applyNumberFormat="1" applyFont="1" applyFill="1"/>
    <xf numFmtId="0" fontId="2" fillId="2" borderId="0" xfId="0" applyFont="1" applyFill="1"/>
    <xf numFmtId="4" fontId="0" fillId="2" borderId="0" xfId="0" applyNumberFormat="1" applyFill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0" fontId="7" fillId="9" borderId="0" xfId="0" applyFont="1" applyFill="1"/>
    <xf numFmtId="3" fontId="8" fillId="9" borderId="0" xfId="0" applyNumberFormat="1" applyFont="1" applyFill="1"/>
    <xf numFmtId="0" fontId="8" fillId="9" borderId="0" xfId="0" applyFont="1" applyFill="1"/>
    <xf numFmtId="0" fontId="2" fillId="10" borderId="0" xfId="0" applyFont="1" applyFill="1"/>
    <xf numFmtId="3" fontId="0" fillId="10" borderId="0" xfId="0" applyNumberFormat="1" applyFill="1"/>
    <xf numFmtId="4" fontId="0" fillId="10" borderId="0" xfId="0" applyNumberFormat="1" applyFill="1"/>
    <xf numFmtId="0" fontId="0" fillId="10" borderId="0" xfId="0" applyFill="1"/>
    <xf numFmtId="3" fontId="9" fillId="12" borderId="0" xfId="0" applyNumberFormat="1" applyFont="1" applyFill="1"/>
    <xf numFmtId="0" fontId="10" fillId="0" borderId="0" xfId="0" applyFont="1"/>
    <xf numFmtId="0" fontId="3" fillId="0" borderId="0" xfId="0" applyFont="1"/>
    <xf numFmtId="3" fontId="3" fillId="0" borderId="0" xfId="0" applyNumberFormat="1" applyFont="1"/>
    <xf numFmtId="3" fontId="9" fillId="11" borderId="0" xfId="0" applyNumberFormat="1" applyFont="1" applyFill="1"/>
    <xf numFmtId="3" fontId="8" fillId="13" borderId="0" xfId="0" applyNumberFormat="1" applyFont="1" applyFill="1"/>
    <xf numFmtId="0" fontId="8" fillId="13" borderId="0" xfId="0" applyFont="1" applyFill="1"/>
    <xf numFmtId="0" fontId="11" fillId="0" borderId="0" xfId="0" applyFont="1"/>
    <xf numFmtId="3" fontId="12" fillId="14" borderId="0" xfId="0" applyNumberFormat="1" applyFont="1" applyFill="1"/>
    <xf numFmtId="0" fontId="9" fillId="15" borderId="0" xfId="0" applyFont="1" applyFill="1"/>
    <xf numFmtId="3" fontId="9" fillId="15" borderId="0" xfId="0" applyNumberFormat="1" applyFont="1" applyFill="1"/>
    <xf numFmtId="0" fontId="9" fillId="3" borderId="0" xfId="0" applyFont="1" applyFill="1"/>
    <xf numFmtId="3" fontId="9" fillId="3" borderId="0" xfId="0" applyNumberFormat="1" applyFont="1" applyFill="1"/>
    <xf numFmtId="0" fontId="13" fillId="18" borderId="1" xfId="0" applyFont="1" applyFill="1" applyBorder="1"/>
    <xf numFmtId="0" fontId="13" fillId="18" borderId="2" xfId="0" applyFont="1" applyFill="1" applyBorder="1"/>
    <xf numFmtId="0" fontId="13" fillId="18" borderId="0" xfId="0" applyFont="1" applyFill="1"/>
    <xf numFmtId="0" fontId="14" fillId="12" borderId="0" xfId="0" applyFont="1" applyFill="1"/>
    <xf numFmtId="0" fontId="9" fillId="12" borderId="0" xfId="0" applyFont="1" applyFill="1"/>
    <xf numFmtId="3" fontId="8" fillId="16" borderId="0" xfId="0" applyNumberFormat="1" applyFont="1" applyFill="1"/>
    <xf numFmtId="3" fontId="8" fillId="17" borderId="0" xfId="0" applyNumberFormat="1" applyFont="1" applyFill="1"/>
    <xf numFmtId="3" fontId="14" fillId="12" borderId="0" xfId="0" applyNumberFormat="1" applyFont="1" applyFill="1"/>
    <xf numFmtId="0" fontId="8" fillId="0" borderId="0" xfId="0" applyFont="1" applyAlignment="1">
      <alignment wrapText="1"/>
    </xf>
    <xf numFmtId="0" fontId="9" fillId="12" borderId="0" xfId="0" applyFont="1" applyFill="1" applyAlignment="1">
      <alignment wrapText="1"/>
    </xf>
    <xf numFmtId="0" fontId="8" fillId="0" borderId="3" xfId="0" applyFont="1" applyBorder="1"/>
    <xf numFmtId="0" fontId="15" fillId="0" borderId="0" xfId="0" applyFont="1"/>
    <xf numFmtId="3" fontId="8" fillId="0" borderId="4" xfId="0" applyNumberFormat="1" applyFont="1" applyBorder="1"/>
    <xf numFmtId="0" fontId="8" fillId="0" borderId="4" xfId="0" applyFont="1" applyBorder="1"/>
    <xf numFmtId="0" fontId="15" fillId="12" borderId="0" xfId="0" applyFont="1" applyFill="1"/>
    <xf numFmtId="0" fontId="15" fillId="19" borderId="0" xfId="0" applyFont="1" applyFill="1"/>
    <xf numFmtId="0" fontId="0" fillId="20" borderId="0" xfId="0" applyFill="1"/>
    <xf numFmtId="0" fontId="0" fillId="18" borderId="0" xfId="0" applyFill="1"/>
    <xf numFmtId="0" fontId="16" fillId="21" borderId="0" xfId="0" applyFont="1" applyFill="1"/>
    <xf numFmtId="0" fontId="13" fillId="18" borderId="1" xfId="0" applyFont="1" applyFill="1" applyBorder="1" applyAlignment="1">
      <alignment wrapText="1"/>
    </xf>
    <xf numFmtId="0" fontId="17" fillId="0" borderId="0" xfId="0" applyFont="1"/>
    <xf numFmtId="3" fontId="0" fillId="22" borderId="0" xfId="0" applyNumberFormat="1" applyFill="1"/>
    <xf numFmtId="0" fontId="18" fillId="0" borderId="0" xfId="0" applyFont="1"/>
    <xf numFmtId="3" fontId="1" fillId="0" borderId="0" xfId="0" applyNumberFormat="1" applyFont="1"/>
    <xf numFmtId="0" fontId="14" fillId="1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3" fillId="18" borderId="2" xfId="0" applyFont="1" applyFill="1" applyBorder="1" applyAlignment="1">
      <alignment wrapText="1"/>
    </xf>
    <xf numFmtId="3" fontId="0" fillId="0" borderId="0" xfId="0" quotePrefix="1" applyNumberFormat="1"/>
    <xf numFmtId="10" fontId="0" fillId="0" borderId="0" xfId="0" applyNumberFormat="1"/>
    <xf numFmtId="0" fontId="0" fillId="0" borderId="0" xfId="0" applyNumberFormat="1"/>
    <xf numFmtId="10" fontId="2" fillId="0" borderId="0" xfId="0" applyNumberFormat="1" applyFont="1" applyAlignment="1">
      <alignment wrapText="1"/>
    </xf>
    <xf numFmtId="0" fontId="2" fillId="0" borderId="0" xfId="0" applyNumberFormat="1" applyFont="1" applyAlignment="1">
      <alignment wrapText="1"/>
    </xf>
    <xf numFmtId="0" fontId="19" fillId="0" borderId="0" xfId="0" applyFont="1" applyBorder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0" fillId="0" borderId="0" xfId="0" applyFont="1" applyBorder="1" applyAlignment="1"/>
    <xf numFmtId="0" fontId="20" fillId="0" borderId="0" xfId="0" applyFont="1" applyBorder="1" applyAlignment="1">
      <alignment wrapText="1"/>
    </xf>
  </cellXfs>
  <cellStyles count="1">
    <cellStyle name="Normal" xfId="0" builtinId="0"/>
  </cellStyles>
  <dxfs count="5">
    <dxf>
      <numFmt numFmtId="14" formatCode="0.00%"/>
    </dxf>
    <dxf>
      <numFmt numFmtId="0" formatCode="General"/>
    </dxf>
    <dxf>
      <numFmt numFmtId="14" formatCode="0.00%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AGV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Sheet3!$D$2:$D$57</c:f>
              <c:numCache>
                <c:formatCode>General</c:formatCode>
                <c:ptCount val="56"/>
                <c:pt idx="0">
                  <c:v>1046087</c:v>
                </c:pt>
                <c:pt idx="1">
                  <c:v>9459521</c:v>
                </c:pt>
                <c:pt idx="2">
                  <c:v>885000</c:v>
                </c:pt>
                <c:pt idx="3">
                  <c:v>776571</c:v>
                </c:pt>
                <c:pt idx="4">
                  <c:v>679702</c:v>
                </c:pt>
                <c:pt idx="5">
                  <c:v>603288</c:v>
                </c:pt>
                <c:pt idx="6">
                  <c:v>555000</c:v>
                </c:pt>
                <c:pt idx="7">
                  <c:v>790137</c:v>
                </c:pt>
                <c:pt idx="8">
                  <c:v>551478</c:v>
                </c:pt>
                <c:pt idx="9">
                  <c:v>545000</c:v>
                </c:pt>
                <c:pt idx="10">
                  <c:v>51000</c:v>
                </c:pt>
                <c:pt idx="11">
                  <c:v>497437</c:v>
                </c:pt>
                <c:pt idx="12">
                  <c:v>408000</c:v>
                </c:pt>
                <c:pt idx="13">
                  <c:v>380000</c:v>
                </c:pt>
                <c:pt idx="14">
                  <c:v>355000</c:v>
                </c:pt>
                <c:pt idx="15">
                  <c:v>345000</c:v>
                </c:pt>
                <c:pt idx="16">
                  <c:v>337000</c:v>
                </c:pt>
                <c:pt idx="17">
                  <c:v>330000</c:v>
                </c:pt>
                <c:pt idx="18">
                  <c:v>328000</c:v>
                </c:pt>
                <c:pt idx="19">
                  <c:v>321000</c:v>
                </c:pt>
                <c:pt idx="20">
                  <c:v>302000</c:v>
                </c:pt>
                <c:pt idx="21">
                  <c:v>298000</c:v>
                </c:pt>
                <c:pt idx="22">
                  <c:v>292000</c:v>
                </c:pt>
                <c:pt idx="23">
                  <c:v>292000</c:v>
                </c:pt>
                <c:pt idx="24">
                  <c:v>264000</c:v>
                </c:pt>
                <c:pt idx="25">
                  <c:v>261000</c:v>
                </c:pt>
                <c:pt idx="26">
                  <c:v>240000</c:v>
                </c:pt>
                <c:pt idx="27">
                  <c:v>216000</c:v>
                </c:pt>
                <c:pt idx="28">
                  <c:v>200000</c:v>
                </c:pt>
                <c:pt idx="29">
                  <c:v>184000</c:v>
                </c:pt>
                <c:pt idx="30">
                  <c:v>149000</c:v>
                </c:pt>
                <c:pt idx="31">
                  <c:v>145000</c:v>
                </c:pt>
                <c:pt idx="32">
                  <c:v>135000</c:v>
                </c:pt>
                <c:pt idx="33">
                  <c:v>130000</c:v>
                </c:pt>
                <c:pt idx="34">
                  <c:v>126000</c:v>
                </c:pt>
                <c:pt idx="35">
                  <c:v>117000</c:v>
                </c:pt>
                <c:pt idx="36">
                  <c:v>109000</c:v>
                </c:pt>
                <c:pt idx="37">
                  <c:v>107000</c:v>
                </c:pt>
                <c:pt idx="38">
                  <c:v>105000</c:v>
                </c:pt>
                <c:pt idx="39">
                  <c:v>104000</c:v>
                </c:pt>
                <c:pt idx="40">
                  <c:v>96000</c:v>
                </c:pt>
                <c:pt idx="41">
                  <c:v>89000</c:v>
                </c:pt>
                <c:pt idx="42">
                  <c:v>84000</c:v>
                </c:pt>
                <c:pt idx="43">
                  <c:v>85500</c:v>
                </c:pt>
                <c:pt idx="44">
                  <c:v>76000</c:v>
                </c:pt>
                <c:pt idx="45">
                  <c:v>76000</c:v>
                </c:pt>
                <c:pt idx="46">
                  <c:v>67000</c:v>
                </c:pt>
                <c:pt idx="47">
                  <c:v>61000</c:v>
                </c:pt>
                <c:pt idx="48">
                  <c:v>57000</c:v>
                </c:pt>
                <c:pt idx="49">
                  <c:v>48000</c:v>
                </c:pt>
                <c:pt idx="50">
                  <c:v>45000</c:v>
                </c:pt>
                <c:pt idx="51">
                  <c:v>44000</c:v>
                </c:pt>
                <c:pt idx="52">
                  <c:v>44000</c:v>
                </c:pt>
                <c:pt idx="53">
                  <c:v>36000</c:v>
                </c:pt>
                <c:pt idx="54">
                  <c:v>6500</c:v>
                </c:pt>
                <c:pt idx="55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E-2A4A-AFED-334C95794260}"/>
            </c:ext>
          </c:extLst>
        </c:ser>
        <c:ser>
          <c:idx val="2"/>
          <c:order val="1"/>
          <c:tx>
            <c:strRef>
              <c:f>Sheet3!$F$1</c:f>
              <c:strCache>
                <c:ptCount val="1"/>
                <c:pt idx="0">
                  <c:v>agv-ours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Sheet3!$F$2:$F$57</c:f>
              <c:numCache>
                <c:formatCode>General</c:formatCode>
                <c:ptCount val="56"/>
                <c:pt idx="0">
                  <c:v>1628568</c:v>
                </c:pt>
                <c:pt idx="1">
                  <c:v>212100</c:v>
                </c:pt>
                <c:pt idx="2">
                  <c:v>1038144</c:v>
                </c:pt>
                <c:pt idx="3">
                  <c:v>2258408</c:v>
                </c:pt>
                <c:pt idx="4">
                  <c:v>216000</c:v>
                </c:pt>
                <c:pt idx="5">
                  <c:v>1400000</c:v>
                </c:pt>
                <c:pt idx="6">
                  <c:v>336000</c:v>
                </c:pt>
                <c:pt idx="7">
                  <c:v>258408</c:v>
                </c:pt>
                <c:pt idx="8">
                  <c:v>1327860</c:v>
                </c:pt>
                <c:pt idx="9">
                  <c:v>258000</c:v>
                </c:pt>
                <c:pt idx="10">
                  <c:v>260000</c:v>
                </c:pt>
                <c:pt idx="11">
                  <c:v>1584000</c:v>
                </c:pt>
                <c:pt idx="12">
                  <c:v>210000</c:v>
                </c:pt>
                <c:pt idx="13">
                  <c:v>396000</c:v>
                </c:pt>
                <c:pt idx="14">
                  <c:v>240000</c:v>
                </c:pt>
                <c:pt idx="15">
                  <c:v>120000</c:v>
                </c:pt>
                <c:pt idx="16">
                  <c:v>240000</c:v>
                </c:pt>
                <c:pt idx="17">
                  <c:v>240000</c:v>
                </c:pt>
                <c:pt idx="18">
                  <c:v>456000</c:v>
                </c:pt>
                <c:pt idx="19">
                  <c:v>456000</c:v>
                </c:pt>
                <c:pt idx="20">
                  <c:v>456000</c:v>
                </c:pt>
                <c:pt idx="21">
                  <c:v>408000</c:v>
                </c:pt>
                <c:pt idx="22">
                  <c:v>504000</c:v>
                </c:pt>
                <c:pt idx="23">
                  <c:v>408000</c:v>
                </c:pt>
                <c:pt idx="24">
                  <c:v>500000</c:v>
                </c:pt>
                <c:pt idx="25">
                  <c:v>408000</c:v>
                </c:pt>
                <c:pt idx="26">
                  <c:v>216000</c:v>
                </c:pt>
                <c:pt idx="27">
                  <c:v>408000</c:v>
                </c:pt>
                <c:pt idx="28">
                  <c:v>312000</c:v>
                </c:pt>
                <c:pt idx="29">
                  <c:v>216000</c:v>
                </c:pt>
                <c:pt idx="30">
                  <c:v>216000</c:v>
                </c:pt>
                <c:pt idx="31">
                  <c:v>410000</c:v>
                </c:pt>
                <c:pt idx="32">
                  <c:v>312000</c:v>
                </c:pt>
                <c:pt idx="33">
                  <c:v>312000</c:v>
                </c:pt>
                <c:pt idx="34">
                  <c:v>240000</c:v>
                </c:pt>
                <c:pt idx="35">
                  <c:v>312000</c:v>
                </c:pt>
                <c:pt idx="36">
                  <c:v>216000</c:v>
                </c:pt>
                <c:pt idx="37">
                  <c:v>600000</c:v>
                </c:pt>
                <c:pt idx="38">
                  <c:v>600000</c:v>
                </c:pt>
                <c:pt idx="39">
                  <c:v>216000</c:v>
                </c:pt>
                <c:pt idx="40">
                  <c:v>408000</c:v>
                </c:pt>
                <c:pt idx="41">
                  <c:v>2280000</c:v>
                </c:pt>
                <c:pt idx="42">
                  <c:v>408000</c:v>
                </c:pt>
                <c:pt idx="43">
                  <c:v>216000</c:v>
                </c:pt>
                <c:pt idx="44">
                  <c:v>408000</c:v>
                </c:pt>
                <c:pt idx="45">
                  <c:v>408000</c:v>
                </c:pt>
                <c:pt idx="46">
                  <c:v>408000</c:v>
                </c:pt>
                <c:pt idx="47">
                  <c:v>456000</c:v>
                </c:pt>
                <c:pt idx="48">
                  <c:v>744000</c:v>
                </c:pt>
                <c:pt idx="49">
                  <c:v>216000</c:v>
                </c:pt>
                <c:pt idx="50">
                  <c:v>216000</c:v>
                </c:pt>
                <c:pt idx="51">
                  <c:v>312000</c:v>
                </c:pt>
                <c:pt idx="52">
                  <c:v>936000</c:v>
                </c:pt>
                <c:pt idx="53">
                  <c:v>312000</c:v>
                </c:pt>
                <c:pt idx="54">
                  <c:v>312000</c:v>
                </c:pt>
                <c:pt idx="55">
                  <c:v>1632000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3E-2A4A-AFED-334C95794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861456"/>
        <c:axId val="1025863184"/>
      </c:barChart>
      <c:catAx>
        <c:axId val="1025861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25863184"/>
        <c:crosses val="autoZero"/>
        <c:auto val="1"/>
        <c:lblAlgn val="ctr"/>
        <c:lblOffset val="100"/>
        <c:noMultiLvlLbl val="0"/>
      </c:catAx>
      <c:valAx>
        <c:axId val="10258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2586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Sheet3!$E$1</c:f>
              <c:strCache>
                <c:ptCount val="1"/>
                <c:pt idx="0">
                  <c:v>ADV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Sheet3!$E$2:$E$57</c:f>
              <c:numCache>
                <c:formatCode>General</c:formatCode>
                <c:ptCount val="56"/>
                <c:pt idx="0">
                  <c:v>657481</c:v>
                </c:pt>
                <c:pt idx="1">
                  <c:v>84979</c:v>
                </c:pt>
                <c:pt idx="2">
                  <c:v>81000</c:v>
                </c:pt>
                <c:pt idx="3">
                  <c:v>87103</c:v>
                </c:pt>
                <c:pt idx="4">
                  <c:v>100000</c:v>
                </c:pt>
                <c:pt idx="5">
                  <c:v>16817</c:v>
                </c:pt>
                <c:pt idx="6">
                  <c:v>97427</c:v>
                </c:pt>
                <c:pt idx="7">
                  <c:v>27198</c:v>
                </c:pt>
                <c:pt idx="8">
                  <c:v>42905</c:v>
                </c:pt>
                <c:pt idx="9">
                  <c:v>30000</c:v>
                </c:pt>
                <c:pt idx="10">
                  <c:v>62000</c:v>
                </c:pt>
                <c:pt idx="11">
                  <c:v>21893</c:v>
                </c:pt>
                <c:pt idx="12">
                  <c:v>14000</c:v>
                </c:pt>
                <c:pt idx="13">
                  <c:v>18000</c:v>
                </c:pt>
                <c:pt idx="14">
                  <c:v>385000</c:v>
                </c:pt>
                <c:pt idx="15">
                  <c:v>87000</c:v>
                </c:pt>
                <c:pt idx="17">
                  <c:v>17000</c:v>
                </c:pt>
                <c:pt idx="18">
                  <c:v>12000</c:v>
                </c:pt>
                <c:pt idx="19">
                  <c:v>36000</c:v>
                </c:pt>
                <c:pt idx="20">
                  <c:v>18000</c:v>
                </c:pt>
                <c:pt idx="21">
                  <c:v>11200</c:v>
                </c:pt>
                <c:pt idx="22">
                  <c:v>13000</c:v>
                </c:pt>
                <c:pt idx="23">
                  <c:v>50000</c:v>
                </c:pt>
                <c:pt idx="24">
                  <c:v>48500</c:v>
                </c:pt>
                <c:pt idx="25">
                  <c:v>8000</c:v>
                </c:pt>
                <c:pt idx="27">
                  <c:v>20000</c:v>
                </c:pt>
                <c:pt idx="28">
                  <c:v>24000</c:v>
                </c:pt>
                <c:pt idx="29">
                  <c:v>24000</c:v>
                </c:pt>
                <c:pt idx="30">
                  <c:v>15000</c:v>
                </c:pt>
                <c:pt idx="31">
                  <c:v>15000</c:v>
                </c:pt>
                <c:pt idx="32">
                  <c:v>2600</c:v>
                </c:pt>
                <c:pt idx="33">
                  <c:v>17500</c:v>
                </c:pt>
                <c:pt idx="37">
                  <c:v>15500</c:v>
                </c:pt>
                <c:pt idx="38">
                  <c:v>3900</c:v>
                </c:pt>
                <c:pt idx="39">
                  <c:v>4000</c:v>
                </c:pt>
                <c:pt idx="40">
                  <c:v>11000</c:v>
                </c:pt>
                <c:pt idx="41">
                  <c:v>3000</c:v>
                </c:pt>
                <c:pt idx="42">
                  <c:v>10600</c:v>
                </c:pt>
                <c:pt idx="43">
                  <c:v>15000</c:v>
                </c:pt>
                <c:pt idx="44">
                  <c:v>27000</c:v>
                </c:pt>
                <c:pt idx="46">
                  <c:v>4800</c:v>
                </c:pt>
                <c:pt idx="47">
                  <c:v>2000</c:v>
                </c:pt>
                <c:pt idx="48">
                  <c:v>11000</c:v>
                </c:pt>
                <c:pt idx="50">
                  <c:v>3300</c:v>
                </c:pt>
                <c:pt idx="51">
                  <c:v>2000</c:v>
                </c:pt>
                <c:pt idx="52">
                  <c:v>84000</c:v>
                </c:pt>
                <c:pt idx="53">
                  <c:v>27000</c:v>
                </c:pt>
                <c:pt idx="54">
                  <c:v>1500</c:v>
                </c:pt>
                <c:pt idx="55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4-EA4E-8CD3-06100F514232}"/>
            </c:ext>
          </c:extLst>
        </c:ser>
        <c:ser>
          <c:idx val="3"/>
          <c:order val="1"/>
          <c:tx>
            <c:strRef>
              <c:f>Sheet3!$G$1</c:f>
              <c:strCache>
                <c:ptCount val="1"/>
                <c:pt idx="0">
                  <c:v>adv-ours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Sheet3!$G$2:$G$57</c:f>
              <c:numCache>
                <c:formatCode>General</c:formatCode>
                <c:ptCount val="56"/>
                <c:pt idx="0">
                  <c:v>966396</c:v>
                </c:pt>
                <c:pt idx="1">
                  <c:v>45744</c:v>
                </c:pt>
                <c:pt idx="2">
                  <c:v>168300</c:v>
                </c:pt>
                <c:pt idx="3">
                  <c:v>37000</c:v>
                </c:pt>
                <c:pt idx="4">
                  <c:v>32400</c:v>
                </c:pt>
                <c:pt idx="5">
                  <c:v>200000</c:v>
                </c:pt>
                <c:pt idx="6">
                  <c:v>16800</c:v>
                </c:pt>
                <c:pt idx="7">
                  <c:v>52800</c:v>
                </c:pt>
                <c:pt idx="8">
                  <c:v>192000</c:v>
                </c:pt>
                <c:pt idx="9">
                  <c:v>48000</c:v>
                </c:pt>
                <c:pt idx="10">
                  <c:v>44000</c:v>
                </c:pt>
                <c:pt idx="11">
                  <c:v>156000</c:v>
                </c:pt>
                <c:pt idx="12">
                  <c:v>31200</c:v>
                </c:pt>
                <c:pt idx="13">
                  <c:v>45600</c:v>
                </c:pt>
                <c:pt idx="14">
                  <c:v>45600</c:v>
                </c:pt>
                <c:pt idx="15">
                  <c:v>372000</c:v>
                </c:pt>
                <c:pt idx="17">
                  <c:v>31200</c:v>
                </c:pt>
                <c:pt idx="18">
                  <c:v>31200</c:v>
                </c:pt>
                <c:pt idx="19">
                  <c:v>45600</c:v>
                </c:pt>
                <c:pt idx="20">
                  <c:v>45600</c:v>
                </c:pt>
                <c:pt idx="21">
                  <c:v>44400</c:v>
                </c:pt>
                <c:pt idx="22">
                  <c:v>44400</c:v>
                </c:pt>
                <c:pt idx="23">
                  <c:v>44400</c:v>
                </c:pt>
                <c:pt idx="24">
                  <c:v>46400</c:v>
                </c:pt>
                <c:pt idx="25">
                  <c:v>30000</c:v>
                </c:pt>
                <c:pt idx="26">
                  <c:v>18000</c:v>
                </c:pt>
                <c:pt idx="27">
                  <c:v>45600</c:v>
                </c:pt>
                <c:pt idx="28">
                  <c:v>58200</c:v>
                </c:pt>
                <c:pt idx="29">
                  <c:v>30000</c:v>
                </c:pt>
                <c:pt idx="30">
                  <c:v>45600</c:v>
                </c:pt>
                <c:pt idx="31">
                  <c:v>57600</c:v>
                </c:pt>
                <c:pt idx="32">
                  <c:v>32000</c:v>
                </c:pt>
                <c:pt idx="33">
                  <c:v>45600</c:v>
                </c:pt>
                <c:pt idx="36">
                  <c:v>45600</c:v>
                </c:pt>
                <c:pt idx="37">
                  <c:v>32000</c:v>
                </c:pt>
                <c:pt idx="38">
                  <c:v>45600</c:v>
                </c:pt>
                <c:pt idx="39">
                  <c:v>31000</c:v>
                </c:pt>
                <c:pt idx="40">
                  <c:v>24000</c:v>
                </c:pt>
                <c:pt idx="41">
                  <c:v>226000</c:v>
                </c:pt>
                <c:pt idx="42">
                  <c:v>45600</c:v>
                </c:pt>
                <c:pt idx="43">
                  <c:v>45000</c:v>
                </c:pt>
                <c:pt idx="44">
                  <c:v>45600</c:v>
                </c:pt>
                <c:pt idx="46">
                  <c:v>42000</c:v>
                </c:pt>
                <c:pt idx="47">
                  <c:v>45000</c:v>
                </c:pt>
                <c:pt idx="48">
                  <c:v>144000</c:v>
                </c:pt>
                <c:pt idx="49">
                  <c:v>45600</c:v>
                </c:pt>
                <c:pt idx="50">
                  <c:v>45600</c:v>
                </c:pt>
                <c:pt idx="51">
                  <c:v>31200</c:v>
                </c:pt>
                <c:pt idx="52">
                  <c:v>288000</c:v>
                </c:pt>
                <c:pt idx="53">
                  <c:v>58800</c:v>
                </c:pt>
                <c:pt idx="54">
                  <c:v>58000</c:v>
                </c:pt>
                <c:pt idx="55">
                  <c:v>144000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04-EA4E-8CD3-06100F514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861456"/>
        <c:axId val="1025863184"/>
      </c:barChart>
      <c:catAx>
        <c:axId val="1025861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25863184"/>
        <c:crosses val="autoZero"/>
        <c:auto val="1"/>
        <c:lblAlgn val="ctr"/>
        <c:lblOffset val="100"/>
        <c:noMultiLvlLbl val="0"/>
      </c:catAx>
      <c:valAx>
        <c:axId val="10258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2586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263525</xdr:colOff>
      <xdr:row>4</xdr:row>
      <xdr:rowOff>12700</xdr:rowOff>
    </xdr:from>
    <xdr:to>
      <xdr:col>33</xdr:col>
      <xdr:colOff>88900</xdr:colOff>
      <xdr:row>20</xdr:row>
      <xdr:rowOff>301625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A25CC1-BCCB-7CE0-D87D-6BDE5D53C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914400</xdr:colOff>
      <xdr:row>22</xdr:row>
      <xdr:rowOff>317500</xdr:rowOff>
    </xdr:from>
    <xdr:to>
      <xdr:col>30</xdr:col>
      <xdr:colOff>266700</xdr:colOff>
      <xdr:row>38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655BEE-0C47-F848-B88F-75C5C12AF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57F63E-F9E2-774E-9626-67F00B14B8DA}" name="Table2" displayName="Table2" ref="A1:AF427" totalsRowShown="0" headerRowDxfId="4">
  <tableColumns count="32">
    <tableColumn id="1" xr3:uid="{FD5A49C5-CEE0-3147-A15A-AF2AAD655A07}" name="Site"/>
    <tableColumn id="2" xr3:uid="{A14D484A-981E-E445-A210-C25C1AC77F0E}" name="version"/>
    <tableColumn id="3" xr3:uid="{645DB2DD-6AFE-E44C-8127-76E70AFC9C4E}" name="Valuation"/>
    <tableColumn id="4" xr3:uid="{5DF7C765-59B3-404B-8271-FCD6DCBE2CE7}" name="Forecast"/>
    <tableColumn id="5" xr3:uid="{5C238805-899F-8246-A243-964C7E693085}" name="Monthly Gas total"/>
    <tableColumn id="6" xr3:uid="{AF03DE43-BF33-9742-8B99-5836CD1C585D}" name="Monthly Diesel Gallons"/>
    <tableColumn id="7" xr3:uid="{96F98266-0BBA-9447-AA78-6FCAC58C3E49}" name="Csore Merchandise Sales"/>
    <tableColumn id="8" xr3:uid="{8D15607F-A8DB-5249-BF6A-A3D68C6F064C}" name="QSR"/>
    <tableColumn id="32" xr3:uid="{84FC9887-38CA-244B-ACF7-D825E27E2C95}" name="Deli"/>
    <tableColumn id="9" xr3:uid="{F0AEF79F-D34F-C941-940D-781C59C2E40D}" name="Car Wash"/>
    <tableColumn id="29" xr3:uid="{03A4EB57-4AAE-F54F-9BB3-653042141871}" name="Liquor Sale"/>
    <tableColumn id="30" xr3:uid="{153336E3-2DAC-CE42-8A8A-344744F40993}" name="Washateria"/>
    <tableColumn id="10" xr3:uid="{CD1D3667-0FD3-0E49-AD99-F3ECC195E809}" name="Market value"/>
    <tableColumn id="11" xr3:uid="{CB93E5DD-60C3-0545-B53D-9FD70C105526}" name="estimated const cost"/>
    <tableColumn id="12" xr3:uid="{8F299C4F-E6C9-4F41-8914-07520C3D1C73}" name="Gross Op Inc"/>
    <tableColumn id="13" xr3:uid="{6A1ACF02-F959-6B4A-8DB1-4B377EC21AC0}" name="Op Expense"/>
    <tableColumn id="14" xr3:uid="{D35D58D6-8C54-3E4A-9446-9221ED09D7A4}" name="NOI"/>
    <tableColumn id="31" xr3:uid="{401F44FD-A356-DD49-A426-B286251D43BC}" name="Type"/>
    <tableColumn id="15" xr3:uid="{418FAD18-56DC-5443-90CE-65A1285C45D9}" name="MPD"/>
    <tableColumn id="16" xr3:uid="{AB518126-39BF-0644-B30F-811A723F1DEC}" name="Diesel"/>
    <tableColumn id="17" xr3:uid="{81B14AB4-AE08-174E-8876-400EFB9E48BB}" name="Sq ft"/>
    <tableColumn id="18" xr3:uid="{9792396B-B290-7149-8E16-D017F78D29EF}" name="PricePerSqft"/>
    <tableColumn id="19" xr3:uid="{83935DD9-A3C7-B240-A42B-2F6034A87CEC}" name="QSR/Deli"/>
    <tableColumn id="20" xr3:uid="{A40C3D1E-B242-2045-B00C-5C6D1F6AEDCC}" name="Retail Tenant (number and total sqft)"/>
    <tableColumn id="21" xr3:uid="{7411390B-E897-C04A-9F63-5BD993D33600}" name="Store"/>
    <tableColumn id="22" xr3:uid="{4527CD2E-106D-D54B-AD7E-F1AF5E450D52}" name="Store (Freezer, Cooler)"/>
    <tableColumn id="23" xr3:uid="{4D51244C-41CE-2946-B594-EB6F4CFB7746}" name="Curb Cuts"/>
    <tableColumn id="24" xr3:uid="{85F95350-27B2-824E-A3E0-2EE776A05089}" name="frontage"/>
    <tableColumn id="25" xr3:uid="{A762AAEB-81ED-7541-8D80-26BC44796743}" name="Is at intersection"/>
    <tableColumn id="26" xr3:uid="{F80505BD-4730-B84F-A3EA-403469A58DA5}" name="24 hour"/>
    <tableColumn id="27" xr3:uid="{00CCFEDC-DF76-574F-8F07-C821C6F791E8}" name="Address"/>
    <tableColumn id="28" xr3:uid="{3F0285A7-8431-B144-A829-75F8B9E4553A}" name="Coordinat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519F6F-76FF-4F2E-B65D-0D5887C20421}" name="Table3" displayName="Table3" ref="A1:K57" totalsRowShown="0">
  <autoFilter ref="A1:K57" xr:uid="{50519F6F-76FF-4F2E-B65D-0D5887C20421}"/>
  <tableColumns count="11">
    <tableColumn id="1" xr3:uid="{9DCC7DCA-B98E-4237-A859-C3F6611597C7}" name="Address" dataDxfId="3"/>
    <tableColumn id="2" xr3:uid="{C4387778-E09E-43CE-BE9F-966EC713141A}" name="Mpds "/>
    <tableColumn id="3" xr3:uid="{19882914-54B8-4D9A-B420-56E3AAF035DC}" name="Diesel hoses "/>
    <tableColumn id="4" xr3:uid="{C8EEB825-53B6-4D42-B755-4B3A434A1CD4}" name="AGV"/>
    <tableColumn id="5" xr3:uid="{B84874EC-0007-4631-90DC-4FE50A01DD12}" name="ADV"/>
    <tableColumn id="6" xr3:uid="{818B167C-3B40-4311-B3CA-09A755315DB1}" name="agv-ours"/>
    <tableColumn id="7" xr3:uid="{0B09ADE7-ACF7-4C5A-B866-FA315EC438BE}" name="adv-ours"/>
    <tableColumn id="8" xr3:uid="{A91471B4-7416-49DE-AD45-833A12003859}" name="Error (Difference) - AGV">
      <calculatedColumnFormula>D2 - F2</calculatedColumnFormula>
    </tableColumn>
    <tableColumn id="9" xr3:uid="{50E6446B-0DED-40CE-97D8-8BC4A3443452}" name="Percentage Error - AGV" dataDxfId="2">
      <calculatedColumnFormula>ABS(D2 - F2) / D2</calculatedColumnFormula>
    </tableColumn>
    <tableColumn id="10" xr3:uid="{402226B5-DC11-4A99-BE68-AC16F0AFEE97}" name="Error (Difference) - ADV" dataDxfId="1">
      <calculatedColumnFormula>E2 - G2</calculatedColumnFormula>
    </tableColumn>
    <tableColumn id="11" xr3:uid="{4DCBA83A-5DFD-4563-BC68-6E8755D2F480}" name="Percentage Error - ADV" dataDxfId="0">
      <calculatedColumnFormula>ABS(E2 - G2) / 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005A-3B41-AD4D-B008-4F688080CBF4}">
  <dimension ref="A1:AT513"/>
  <sheetViews>
    <sheetView tabSelected="1" zoomScale="120" zoomScaleNormal="120" workbookViewId="0">
      <pane xSplit="1" ySplit="1" topLeftCell="B62" activePane="bottomRight" state="frozen"/>
      <selection pane="bottomRight" activeCell="F69" sqref="F69"/>
      <selection pane="bottomLeft" activeCell="A2" sqref="A2"/>
      <selection pane="topRight" activeCell="B1" sqref="B1"/>
    </sheetView>
  </sheetViews>
  <sheetFormatPr defaultColWidth="11.42578125" defaultRowHeight="15"/>
  <cols>
    <col min="1" max="1" width="21" customWidth="1"/>
    <col min="2" max="2" width="18.7109375" customWidth="1"/>
    <col min="3" max="3" width="11.7109375" bestFit="1" customWidth="1"/>
    <col min="4" max="4" width="10.7109375" bestFit="1" customWidth="1"/>
    <col min="5" max="5" width="16.7109375" customWidth="1"/>
    <col min="6" max="6" width="20.42578125" customWidth="1"/>
    <col min="7" max="7" width="21.85546875" customWidth="1"/>
    <col min="8" max="9" width="14" customWidth="1"/>
    <col min="13" max="13" width="16" customWidth="1"/>
    <col min="14" max="14" width="18.28515625" customWidth="1"/>
    <col min="15" max="15" width="12.85546875" customWidth="1"/>
    <col min="16" max="16" width="12" customWidth="1"/>
    <col min="18" max="18" width="19" bestFit="1" customWidth="1"/>
    <col min="19" max="19" width="7.7109375" bestFit="1" customWidth="1"/>
    <col min="20" max="20" width="7.42578125" customWidth="1"/>
    <col min="21" max="21" width="7.7109375" bestFit="1" customWidth="1"/>
    <col min="22" max="22" width="12.42578125" customWidth="1"/>
    <col min="23" max="23" width="19.85546875" customWidth="1"/>
    <col min="24" max="24" width="31.140625" customWidth="1"/>
    <col min="25" max="25" width="7.140625" customWidth="1"/>
    <col min="26" max="26" width="20.28515625" customWidth="1"/>
    <col min="27" max="27" width="10.42578125" customWidth="1"/>
    <col min="28" max="28" width="12.28515625" customWidth="1"/>
    <col min="29" max="29" width="15.42578125" customWidth="1"/>
    <col min="30" max="30" width="9.28515625" customWidth="1"/>
    <col min="31" max="31" width="45" customWidth="1"/>
    <col min="32" max="32" width="37.28515625" bestFit="1" customWidth="1"/>
    <col min="33" max="33" width="17" bestFit="1" customWidth="1"/>
    <col min="34" max="34" width="16.140625" bestFit="1" customWidth="1"/>
    <col min="35" max="35" width="25.85546875" bestFit="1" customWidth="1"/>
    <col min="36" max="36" width="23.42578125" bestFit="1" customWidth="1"/>
    <col min="37" max="37" width="12" bestFit="1" customWidth="1"/>
    <col min="38" max="38" width="20.42578125" customWidth="1"/>
  </cols>
  <sheetData>
    <row r="1" spans="1:38" s="49" customFormat="1" ht="33.950000000000003">
      <c r="A1" s="47" t="s">
        <v>0</v>
      </c>
      <c r="B1" s="48" t="s">
        <v>1</v>
      </c>
      <c r="C1" s="47" t="s">
        <v>2</v>
      </c>
      <c r="D1" s="47" t="s">
        <v>3</v>
      </c>
      <c r="E1" s="66" t="s">
        <v>4</v>
      </c>
      <c r="F1" s="66" t="s">
        <v>5</v>
      </c>
      <c r="G1" s="66" t="s">
        <v>6</v>
      </c>
      <c r="H1" s="47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7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  <c r="V1" s="48" t="s">
        <v>21</v>
      </c>
      <c r="W1" s="48" t="s">
        <v>22</v>
      </c>
      <c r="X1" s="73" t="s">
        <v>23</v>
      </c>
      <c r="Y1" s="48" t="s">
        <v>24</v>
      </c>
      <c r="Z1" s="73" t="s">
        <v>25</v>
      </c>
      <c r="AA1" s="48" t="s">
        <v>26</v>
      </c>
      <c r="AB1" s="48" t="s">
        <v>27</v>
      </c>
      <c r="AC1" s="48" t="s">
        <v>28</v>
      </c>
      <c r="AD1" s="48" t="s">
        <v>29</v>
      </c>
      <c r="AE1" s="48" t="s">
        <v>30</v>
      </c>
      <c r="AF1" s="48" t="s">
        <v>31</v>
      </c>
      <c r="AG1" s="49" t="s">
        <v>32</v>
      </c>
      <c r="AH1" s="49" t="s">
        <v>33</v>
      </c>
      <c r="AI1" s="49" t="s">
        <v>34</v>
      </c>
      <c r="AJ1" s="49" t="s">
        <v>35</v>
      </c>
      <c r="AK1" s="49" t="s">
        <v>36</v>
      </c>
      <c r="AL1" s="49" t="s">
        <v>37</v>
      </c>
    </row>
    <row r="2" spans="1:38" ht="15.95">
      <c r="A2" s="1" t="s">
        <v>38</v>
      </c>
      <c r="B2" t="s">
        <v>39</v>
      </c>
      <c r="C2" s="3">
        <v>3672556</v>
      </c>
      <c r="D2" s="3">
        <v>3769948</v>
      </c>
      <c r="E2" s="3">
        <v>211530</v>
      </c>
      <c r="F2" s="3">
        <v>76228</v>
      </c>
      <c r="G2" s="3">
        <v>265109</v>
      </c>
      <c r="H2" s="3"/>
      <c r="I2" s="3"/>
      <c r="J2" s="3"/>
      <c r="K2" s="3"/>
      <c r="L2" s="3"/>
      <c r="M2" s="3">
        <v>899956</v>
      </c>
      <c r="N2" s="3"/>
      <c r="O2" s="3"/>
      <c r="P2" s="3"/>
      <c r="Q2" s="3"/>
      <c r="R2" s="3" t="s">
        <v>40</v>
      </c>
      <c r="S2">
        <v>6</v>
      </c>
      <c r="T2">
        <v>12</v>
      </c>
      <c r="U2" s="3">
        <v>87120</v>
      </c>
      <c r="V2" s="3">
        <v>17</v>
      </c>
      <c r="W2" s="3">
        <v>5000</v>
      </c>
      <c r="X2" s="3"/>
      <c r="Y2" s="3">
        <v>6000</v>
      </c>
      <c r="Z2" s="3" t="s">
        <v>41</v>
      </c>
      <c r="AA2" s="3" t="s">
        <v>42</v>
      </c>
      <c r="AB2" s="3" t="s">
        <v>43</v>
      </c>
      <c r="AC2" s="4" t="s">
        <v>44</v>
      </c>
      <c r="AD2" s="4" t="s">
        <v>44</v>
      </c>
      <c r="AE2" t="s">
        <v>45</v>
      </c>
      <c r="AF2" s="2" t="s">
        <v>46</v>
      </c>
      <c r="AH2">
        <v>14704</v>
      </c>
      <c r="AI2">
        <v>97013</v>
      </c>
      <c r="AJ2">
        <v>6197</v>
      </c>
      <c r="AK2">
        <v>44</v>
      </c>
    </row>
    <row r="3" spans="1:38" ht="15.95">
      <c r="A3" s="1" t="s">
        <v>38</v>
      </c>
      <c r="B3" t="s">
        <v>47</v>
      </c>
      <c r="C3" s="3">
        <v>2597061</v>
      </c>
      <c r="D3" s="3">
        <v>2683733</v>
      </c>
      <c r="E3" s="3">
        <v>127819</v>
      </c>
      <c r="F3" s="3">
        <v>30922</v>
      </c>
      <c r="G3" s="3">
        <v>166190</v>
      </c>
      <c r="H3" s="3"/>
      <c r="I3" s="3"/>
      <c r="J3" s="3"/>
      <c r="K3" s="3"/>
      <c r="L3" s="3"/>
      <c r="M3" s="3">
        <v>899956</v>
      </c>
      <c r="N3" s="3"/>
      <c r="O3" s="3">
        <v>2657160</v>
      </c>
      <c r="P3" s="3">
        <v>1829520</v>
      </c>
      <c r="Q3" s="3">
        <v>827640</v>
      </c>
      <c r="R3" s="3" t="s">
        <v>40</v>
      </c>
      <c r="S3">
        <v>6</v>
      </c>
      <c r="T3">
        <v>12</v>
      </c>
      <c r="U3" s="3">
        <v>87120</v>
      </c>
      <c r="V3" s="3">
        <v>17</v>
      </c>
      <c r="W3" s="3">
        <v>5000</v>
      </c>
      <c r="X3" s="3"/>
      <c r="Y3" s="3">
        <v>6000</v>
      </c>
      <c r="Z3" s="3" t="s">
        <v>41</v>
      </c>
      <c r="AA3" s="3" t="s">
        <v>42</v>
      </c>
      <c r="AB3" s="3" t="s">
        <v>43</v>
      </c>
      <c r="AC3" s="4" t="s">
        <v>44</v>
      </c>
      <c r="AD3" s="4" t="s">
        <v>44</v>
      </c>
      <c r="AE3" t="s">
        <v>45</v>
      </c>
      <c r="AF3" s="2" t="s">
        <v>46</v>
      </c>
    </row>
    <row r="4" spans="1:38">
      <c r="A4" s="1" t="s">
        <v>38</v>
      </c>
      <c r="B4" t="s">
        <v>48</v>
      </c>
      <c r="C4" s="3">
        <v>769852</v>
      </c>
      <c r="D4" s="3">
        <v>2428628</v>
      </c>
      <c r="E4" s="3">
        <v>240322</v>
      </c>
      <c r="F4" s="3">
        <v>105020</v>
      </c>
      <c r="G4" s="3">
        <v>0</v>
      </c>
      <c r="H4" s="3"/>
      <c r="I4" s="3"/>
      <c r="J4" s="3"/>
      <c r="K4" s="3"/>
      <c r="L4" s="3"/>
      <c r="M4" s="3">
        <v>244729</v>
      </c>
      <c r="N4" s="3"/>
      <c r="P4" s="3"/>
      <c r="Q4" s="3"/>
      <c r="R4" s="3" t="s">
        <v>40</v>
      </c>
      <c r="S4">
        <v>6</v>
      </c>
      <c r="T4">
        <v>12</v>
      </c>
      <c r="U4" s="3">
        <v>87120</v>
      </c>
      <c r="V4" s="3">
        <v>17</v>
      </c>
      <c r="W4" s="3">
        <v>5000</v>
      </c>
      <c r="X4" s="3"/>
      <c r="Y4" s="3">
        <v>6000</v>
      </c>
      <c r="Z4" s="3" t="s">
        <v>41</v>
      </c>
      <c r="AA4" s="3" t="s">
        <v>42</v>
      </c>
      <c r="AB4" s="3" t="s">
        <v>43</v>
      </c>
      <c r="AC4" s="4" t="s">
        <v>44</v>
      </c>
      <c r="AD4" s="4" t="s">
        <v>44</v>
      </c>
      <c r="AE4" t="s">
        <v>45</v>
      </c>
      <c r="AF4" t="s">
        <v>46</v>
      </c>
    </row>
    <row r="5" spans="1:38">
      <c r="A5" s="1" t="s">
        <v>38</v>
      </c>
      <c r="B5" t="s">
        <v>49</v>
      </c>
      <c r="C5" s="3">
        <v>2027783</v>
      </c>
      <c r="D5" s="3">
        <v>2428628</v>
      </c>
      <c r="E5" s="3">
        <v>240322</v>
      </c>
      <c r="F5" s="3">
        <v>105020</v>
      </c>
      <c r="G5" s="3"/>
      <c r="H5" s="3"/>
      <c r="I5" s="3"/>
      <c r="J5" s="3"/>
      <c r="K5" s="3"/>
      <c r="L5" s="3"/>
      <c r="M5" s="3">
        <v>244729</v>
      </c>
      <c r="N5" s="3"/>
      <c r="O5" s="3"/>
      <c r="P5" s="3"/>
      <c r="Q5" s="3"/>
      <c r="R5" s="3" t="s">
        <v>40</v>
      </c>
      <c r="S5">
        <v>6</v>
      </c>
      <c r="T5">
        <v>12</v>
      </c>
      <c r="U5" s="3">
        <v>87120</v>
      </c>
      <c r="V5" s="3">
        <v>17</v>
      </c>
      <c r="W5" s="3">
        <v>5000</v>
      </c>
      <c r="X5" s="3"/>
      <c r="Y5" s="3">
        <v>6000</v>
      </c>
      <c r="Z5" s="3" t="s">
        <v>41</v>
      </c>
      <c r="AA5" s="3" t="s">
        <v>42</v>
      </c>
      <c r="AB5" s="3" t="s">
        <v>43</v>
      </c>
      <c r="AC5" s="4" t="s">
        <v>44</v>
      </c>
      <c r="AD5" s="4" t="s">
        <v>44</v>
      </c>
      <c r="AE5" t="s">
        <v>45</v>
      </c>
      <c r="AF5" t="s">
        <v>46</v>
      </c>
    </row>
    <row r="6" spans="1:38">
      <c r="A6" s="1" t="s">
        <v>38</v>
      </c>
      <c r="B6" t="s">
        <v>50</v>
      </c>
      <c r="C6" s="3">
        <v>3622034</v>
      </c>
      <c r="D6" s="3">
        <v>10484056</v>
      </c>
      <c r="E6" s="3">
        <v>1998091</v>
      </c>
      <c r="F6" s="3">
        <v>483367</v>
      </c>
      <c r="G6" s="3"/>
      <c r="H6" s="3"/>
      <c r="I6" s="3"/>
      <c r="J6" s="3"/>
      <c r="K6" s="3"/>
      <c r="L6" s="3"/>
      <c r="M6" s="3">
        <v>244729</v>
      </c>
      <c r="N6" s="3"/>
      <c r="O6" s="3">
        <v>10380253</v>
      </c>
      <c r="P6" s="3">
        <v>1038025</v>
      </c>
      <c r="Q6" s="3">
        <v>3132576</v>
      </c>
      <c r="R6" s="3" t="s">
        <v>40</v>
      </c>
      <c r="S6">
        <v>6</v>
      </c>
      <c r="T6">
        <v>12</v>
      </c>
      <c r="U6" s="3">
        <v>87120</v>
      </c>
      <c r="V6" s="3">
        <v>17</v>
      </c>
      <c r="W6" s="3">
        <v>5000</v>
      </c>
      <c r="X6" s="3"/>
      <c r="Y6" s="3">
        <v>6000</v>
      </c>
      <c r="Z6" s="3" t="s">
        <v>41</v>
      </c>
      <c r="AA6" s="3" t="s">
        <v>42</v>
      </c>
      <c r="AB6" s="3" t="s">
        <v>43</v>
      </c>
      <c r="AC6" s="4" t="s">
        <v>44</v>
      </c>
      <c r="AD6" s="4" t="s">
        <v>44</v>
      </c>
      <c r="AE6" t="s">
        <v>45</v>
      </c>
      <c r="AF6" t="s">
        <v>46</v>
      </c>
    </row>
    <row r="7" spans="1:38">
      <c r="A7" s="1" t="s">
        <v>38</v>
      </c>
      <c r="B7" t="s">
        <v>51</v>
      </c>
      <c r="C7" s="3">
        <v>801032</v>
      </c>
      <c r="D7" s="3">
        <v>986683</v>
      </c>
      <c r="E7" s="3">
        <v>146521</v>
      </c>
      <c r="F7" s="3">
        <v>35455</v>
      </c>
      <c r="G7" s="3"/>
      <c r="H7" s="3"/>
      <c r="I7" s="3"/>
      <c r="J7" s="3"/>
      <c r="K7" s="3"/>
      <c r="L7" s="3"/>
      <c r="M7" s="3">
        <v>244729</v>
      </c>
      <c r="N7" s="3"/>
      <c r="O7" s="3">
        <v>976914</v>
      </c>
      <c r="P7" s="3">
        <v>97691</v>
      </c>
      <c r="Q7" s="3">
        <v>311574</v>
      </c>
      <c r="R7" s="3" t="s">
        <v>40</v>
      </c>
      <c r="S7">
        <v>6</v>
      </c>
      <c r="T7">
        <v>12</v>
      </c>
      <c r="U7" s="3">
        <v>87120</v>
      </c>
      <c r="V7" s="3">
        <v>17</v>
      </c>
      <c r="W7" s="3">
        <v>5000</v>
      </c>
      <c r="X7" s="3"/>
      <c r="Y7" s="3">
        <v>6000</v>
      </c>
      <c r="Z7" s="3" t="s">
        <v>41</v>
      </c>
      <c r="AA7" s="3" t="s">
        <v>42</v>
      </c>
      <c r="AB7" s="3" t="s">
        <v>43</v>
      </c>
      <c r="AC7" s="4" t="s">
        <v>44</v>
      </c>
      <c r="AD7" s="4" t="s">
        <v>44</v>
      </c>
      <c r="AE7" t="s">
        <v>45</v>
      </c>
      <c r="AF7" t="s">
        <v>46</v>
      </c>
    </row>
    <row r="8" spans="1:38">
      <c r="A8" s="1" t="s">
        <v>38</v>
      </c>
      <c r="B8" t="s">
        <v>52</v>
      </c>
      <c r="C8" s="3">
        <v>799874</v>
      </c>
      <c r="D8" s="3">
        <v>982785</v>
      </c>
      <c r="E8" s="3">
        <v>146521</v>
      </c>
      <c r="F8" s="3">
        <v>35455</v>
      </c>
      <c r="G8" s="3">
        <v>333374</v>
      </c>
      <c r="H8" s="3">
        <v>73766</v>
      </c>
      <c r="I8" s="3"/>
      <c r="J8" s="3">
        <v>0</v>
      </c>
      <c r="K8" s="3"/>
      <c r="L8" s="3"/>
      <c r="M8" s="3">
        <v>244729</v>
      </c>
      <c r="N8" s="3"/>
      <c r="O8" s="3">
        <v>973054</v>
      </c>
      <c r="P8" s="3">
        <v>97305</v>
      </c>
      <c r="Q8" s="3">
        <v>310416</v>
      </c>
      <c r="R8" s="3" t="s">
        <v>40</v>
      </c>
      <c r="S8">
        <v>6</v>
      </c>
      <c r="T8">
        <v>12</v>
      </c>
      <c r="U8" s="3">
        <v>87120</v>
      </c>
      <c r="V8" s="3">
        <v>17</v>
      </c>
      <c r="W8" s="3">
        <v>5000</v>
      </c>
      <c r="X8" s="3"/>
      <c r="Y8" s="3">
        <v>6000</v>
      </c>
      <c r="Z8" s="3" t="s">
        <v>41</v>
      </c>
      <c r="AA8" s="3" t="s">
        <v>42</v>
      </c>
      <c r="AB8" s="3" t="s">
        <v>43</v>
      </c>
      <c r="AC8" s="4" t="s">
        <v>44</v>
      </c>
      <c r="AD8" s="4" t="s">
        <v>44</v>
      </c>
      <c r="AE8" t="s">
        <v>45</v>
      </c>
      <c r="AF8" t="s">
        <v>46</v>
      </c>
    </row>
    <row r="9" spans="1:38">
      <c r="A9" s="1" t="s">
        <v>38</v>
      </c>
      <c r="B9" t="s">
        <v>53</v>
      </c>
      <c r="C9" s="3">
        <v>1462512</v>
      </c>
      <c r="D9" s="3">
        <v>982785</v>
      </c>
      <c r="E9" s="3">
        <v>146521</v>
      </c>
      <c r="F9" s="3">
        <v>35455</v>
      </c>
      <c r="G9" s="3">
        <v>333374</v>
      </c>
      <c r="H9" s="3">
        <v>73766</v>
      </c>
      <c r="I9" s="3"/>
      <c r="J9" s="3">
        <v>0</v>
      </c>
      <c r="K9" s="3"/>
      <c r="L9" s="3"/>
      <c r="M9" s="3">
        <v>244729</v>
      </c>
      <c r="N9" s="3"/>
      <c r="O9" s="3">
        <v>973054</v>
      </c>
      <c r="P9" s="3">
        <v>97305</v>
      </c>
      <c r="Q9" s="3">
        <v>286089</v>
      </c>
      <c r="R9" s="3" t="s">
        <v>40</v>
      </c>
      <c r="S9">
        <v>6</v>
      </c>
      <c r="T9">
        <v>12</v>
      </c>
      <c r="U9" s="3">
        <v>87120</v>
      </c>
      <c r="V9" s="3">
        <v>17</v>
      </c>
      <c r="W9" s="3">
        <v>5000</v>
      </c>
      <c r="X9" s="3"/>
      <c r="Y9" s="3">
        <v>6000</v>
      </c>
      <c r="Z9" s="3" t="s">
        <v>41</v>
      </c>
      <c r="AA9" s="3" t="s">
        <v>42</v>
      </c>
      <c r="AB9" s="3" t="s">
        <v>43</v>
      </c>
      <c r="AC9" s="4" t="s">
        <v>44</v>
      </c>
      <c r="AD9" s="4" t="s">
        <v>44</v>
      </c>
      <c r="AE9" t="s">
        <v>45</v>
      </c>
      <c r="AF9" t="s">
        <v>46</v>
      </c>
    </row>
    <row r="10" spans="1:38">
      <c r="A10" s="1" t="s">
        <v>38</v>
      </c>
      <c r="B10" t="s">
        <v>54</v>
      </c>
      <c r="C10" s="3">
        <v>1462512</v>
      </c>
      <c r="D10" s="3">
        <v>982785</v>
      </c>
      <c r="E10" s="3">
        <v>146521</v>
      </c>
      <c r="F10" s="3">
        <v>35455</v>
      </c>
      <c r="G10" s="3">
        <v>333374</v>
      </c>
      <c r="H10" s="3">
        <v>73766</v>
      </c>
      <c r="I10" s="3"/>
      <c r="J10" s="3">
        <v>0</v>
      </c>
      <c r="K10" s="3">
        <v>0</v>
      </c>
      <c r="L10" s="3">
        <v>0</v>
      </c>
      <c r="M10" s="3">
        <v>244729</v>
      </c>
      <c r="N10" s="3"/>
      <c r="O10" s="3">
        <v>973054</v>
      </c>
      <c r="P10" s="3">
        <v>97305</v>
      </c>
      <c r="Q10" s="3">
        <v>91479</v>
      </c>
      <c r="R10" s="3" t="s">
        <v>40</v>
      </c>
      <c r="S10">
        <v>6</v>
      </c>
      <c r="T10">
        <v>12</v>
      </c>
      <c r="U10" s="3">
        <v>87120</v>
      </c>
      <c r="V10" s="3">
        <v>17</v>
      </c>
      <c r="W10" s="3">
        <v>5000</v>
      </c>
      <c r="X10" s="3"/>
      <c r="Y10" s="3">
        <v>6000</v>
      </c>
      <c r="Z10" s="3" t="s">
        <v>41</v>
      </c>
      <c r="AA10" s="3" t="s">
        <v>42</v>
      </c>
      <c r="AB10" s="3" t="s">
        <v>43</v>
      </c>
      <c r="AC10" s="4" t="s">
        <v>44</v>
      </c>
      <c r="AD10" s="5" t="s">
        <v>55</v>
      </c>
      <c r="AE10" t="s">
        <v>45</v>
      </c>
      <c r="AF10" t="s">
        <v>46</v>
      </c>
    </row>
    <row r="11" spans="1:38">
      <c r="A11" s="1" t="s">
        <v>38</v>
      </c>
      <c r="B11" t="s">
        <v>56</v>
      </c>
      <c r="C11" s="3">
        <v>1462512</v>
      </c>
      <c r="D11" s="3">
        <v>982785</v>
      </c>
      <c r="E11" s="3">
        <v>146521</v>
      </c>
      <c r="F11" s="3">
        <v>35455</v>
      </c>
      <c r="G11" s="3">
        <v>333374</v>
      </c>
      <c r="H11" s="3">
        <v>73766</v>
      </c>
      <c r="I11" s="3"/>
      <c r="J11" s="3">
        <v>0</v>
      </c>
      <c r="K11" s="3">
        <v>0</v>
      </c>
      <c r="L11" s="3">
        <v>0</v>
      </c>
      <c r="M11" s="3">
        <v>244729</v>
      </c>
      <c r="N11" s="3"/>
      <c r="O11" s="3">
        <v>973054</v>
      </c>
      <c r="P11" s="3">
        <v>97305</v>
      </c>
      <c r="Q11" s="3">
        <v>1259144</v>
      </c>
      <c r="R11" s="3" t="s">
        <v>40</v>
      </c>
      <c r="S11">
        <v>6</v>
      </c>
      <c r="T11">
        <v>12</v>
      </c>
      <c r="U11" s="3">
        <v>87120</v>
      </c>
      <c r="V11" s="3">
        <v>17</v>
      </c>
      <c r="W11" s="3">
        <v>5000</v>
      </c>
      <c r="X11" s="3"/>
      <c r="Y11" s="3">
        <v>6000</v>
      </c>
      <c r="Z11" s="3" t="s">
        <v>41</v>
      </c>
      <c r="AA11" s="3" t="s">
        <v>42</v>
      </c>
      <c r="AB11" s="3" t="s">
        <v>43</v>
      </c>
      <c r="AC11" s="4" t="s">
        <v>44</v>
      </c>
      <c r="AD11" s="4" t="s">
        <v>44</v>
      </c>
      <c r="AE11" t="s">
        <v>45</v>
      </c>
      <c r="AF11" t="s">
        <v>46</v>
      </c>
    </row>
    <row r="12" spans="1:38">
      <c r="A12" s="1" t="s">
        <v>38</v>
      </c>
      <c r="B12" t="s">
        <v>57</v>
      </c>
      <c r="C12" s="3">
        <v>1338729</v>
      </c>
      <c r="D12" s="3">
        <v>857764</v>
      </c>
      <c r="E12" s="3">
        <v>127882</v>
      </c>
      <c r="F12" s="3">
        <v>30936</v>
      </c>
      <c r="G12" s="3">
        <v>290965</v>
      </c>
      <c r="H12" s="3">
        <v>64382</v>
      </c>
      <c r="I12" s="3"/>
      <c r="J12" s="3">
        <v>0</v>
      </c>
      <c r="K12" s="3">
        <v>0</v>
      </c>
      <c r="L12" s="3">
        <v>0</v>
      </c>
      <c r="M12" s="3">
        <v>244729</v>
      </c>
      <c r="N12" s="3"/>
      <c r="O12" s="3">
        <v>849270</v>
      </c>
      <c r="P12" s="3">
        <v>84927</v>
      </c>
      <c r="Q12" s="3">
        <v>931466</v>
      </c>
      <c r="R12" s="3" t="s">
        <v>40</v>
      </c>
      <c r="S12">
        <v>6</v>
      </c>
      <c r="T12">
        <v>12</v>
      </c>
      <c r="U12" s="3">
        <v>87120</v>
      </c>
      <c r="V12" s="3">
        <v>17</v>
      </c>
      <c r="W12" s="3">
        <v>5000</v>
      </c>
      <c r="X12" s="3"/>
      <c r="Y12" s="3">
        <v>6000</v>
      </c>
      <c r="Z12" s="3" t="s">
        <v>41</v>
      </c>
      <c r="AA12" s="3" t="s">
        <v>42</v>
      </c>
      <c r="AB12" s="3" t="s">
        <v>43</v>
      </c>
      <c r="AC12" s="4" t="s">
        <v>44</v>
      </c>
      <c r="AD12" s="5" t="s">
        <v>55</v>
      </c>
      <c r="AE12" t="s">
        <v>45</v>
      </c>
      <c r="AF12" t="s">
        <v>46</v>
      </c>
    </row>
    <row r="13" spans="1:38">
      <c r="A13" s="1" t="s">
        <v>38</v>
      </c>
      <c r="B13" t="s">
        <v>58</v>
      </c>
      <c r="C13" s="3">
        <v>1338729</v>
      </c>
      <c r="D13" s="3">
        <v>857764</v>
      </c>
      <c r="E13" s="3">
        <v>127882</v>
      </c>
      <c r="F13" s="3">
        <v>30936</v>
      </c>
      <c r="G13" s="3">
        <v>290965</v>
      </c>
      <c r="H13" s="3">
        <v>64382</v>
      </c>
      <c r="I13" s="3"/>
      <c r="J13" s="3">
        <v>0</v>
      </c>
      <c r="K13" s="3">
        <v>0</v>
      </c>
      <c r="L13" s="3">
        <v>0</v>
      </c>
      <c r="M13" s="3">
        <v>244729</v>
      </c>
      <c r="N13" s="3"/>
      <c r="O13" s="3">
        <v>849270</v>
      </c>
      <c r="P13" s="3">
        <v>84927</v>
      </c>
      <c r="Q13" s="3">
        <v>1101320</v>
      </c>
      <c r="R13" s="3" t="s">
        <v>40</v>
      </c>
      <c r="S13">
        <v>6</v>
      </c>
      <c r="T13">
        <v>12</v>
      </c>
      <c r="U13" s="3">
        <v>87120</v>
      </c>
      <c r="V13" s="3">
        <v>17</v>
      </c>
      <c r="W13" s="3">
        <v>5000</v>
      </c>
      <c r="X13" s="3"/>
      <c r="Y13" s="3">
        <v>6000</v>
      </c>
      <c r="Z13" s="3" t="s">
        <v>41</v>
      </c>
      <c r="AA13" s="3" t="s">
        <v>42</v>
      </c>
      <c r="AB13" s="3" t="s">
        <v>43</v>
      </c>
      <c r="AC13" s="5" t="s">
        <v>55</v>
      </c>
      <c r="AD13" s="3" t="s">
        <v>44</v>
      </c>
      <c r="AE13" t="s">
        <v>45</v>
      </c>
      <c r="AF13" t="s">
        <v>46</v>
      </c>
    </row>
    <row r="14" spans="1:38">
      <c r="A14" s="1" t="s">
        <v>38</v>
      </c>
      <c r="B14" t="s">
        <v>59</v>
      </c>
      <c r="C14" s="3">
        <v>1441235</v>
      </c>
      <c r="D14" s="3">
        <v>961295</v>
      </c>
      <c r="E14" s="3">
        <v>146521</v>
      </c>
      <c r="F14" s="3">
        <v>35445</v>
      </c>
      <c r="G14" s="3">
        <v>312495</v>
      </c>
      <c r="H14" s="3">
        <v>73766</v>
      </c>
      <c r="I14" s="3"/>
      <c r="J14" s="3">
        <v>0</v>
      </c>
      <c r="K14" s="3">
        <v>0</v>
      </c>
      <c r="L14" s="3">
        <v>0</v>
      </c>
      <c r="M14" s="3">
        <v>244729</v>
      </c>
      <c r="N14" s="3"/>
      <c r="O14" s="3">
        <v>951777</v>
      </c>
      <c r="P14" s="3">
        <v>95177</v>
      </c>
      <c r="Q14" s="3">
        <v>1232016</v>
      </c>
      <c r="R14" s="3" t="s">
        <v>40</v>
      </c>
      <c r="S14">
        <v>6</v>
      </c>
      <c r="T14">
        <v>12</v>
      </c>
      <c r="U14" s="3">
        <v>87120</v>
      </c>
      <c r="V14" s="3">
        <v>17</v>
      </c>
      <c r="W14" s="3">
        <v>5000</v>
      </c>
      <c r="X14" s="3"/>
      <c r="Y14" s="3">
        <v>6000</v>
      </c>
      <c r="Z14" s="3" t="s">
        <v>41</v>
      </c>
      <c r="AA14" s="3" t="s">
        <v>42</v>
      </c>
      <c r="AB14" s="3" t="s">
        <v>43</v>
      </c>
      <c r="AC14" s="4" t="s">
        <v>44</v>
      </c>
      <c r="AD14" s="4" t="s">
        <v>44</v>
      </c>
      <c r="AE14" t="s">
        <v>45</v>
      </c>
      <c r="AF14" t="s">
        <v>46</v>
      </c>
    </row>
    <row r="15" spans="1:38">
      <c r="A15" s="1" t="s">
        <v>38</v>
      </c>
      <c r="B15" t="s">
        <v>60</v>
      </c>
      <c r="C15" s="3">
        <v>1354502</v>
      </c>
      <c r="D15" s="3">
        <v>873695</v>
      </c>
      <c r="E15" s="3">
        <v>146521</v>
      </c>
      <c r="F15" s="3">
        <v>35445</v>
      </c>
      <c r="G15" s="3">
        <v>225364</v>
      </c>
      <c r="H15" s="3">
        <v>73766</v>
      </c>
      <c r="I15" s="3"/>
      <c r="J15" s="3">
        <v>0</v>
      </c>
      <c r="K15" s="3">
        <v>0</v>
      </c>
      <c r="L15" s="3">
        <v>0</v>
      </c>
      <c r="M15" s="3">
        <v>244729</v>
      </c>
      <c r="N15" s="3"/>
      <c r="O15" s="3">
        <v>865044</v>
      </c>
      <c r="P15" s="3">
        <v>86504</v>
      </c>
      <c r="Q15" s="3">
        <v>1121431</v>
      </c>
      <c r="R15" s="3" t="s">
        <v>40</v>
      </c>
      <c r="S15">
        <v>6</v>
      </c>
      <c r="T15">
        <v>12</v>
      </c>
      <c r="U15" s="3">
        <v>87120</v>
      </c>
      <c r="V15" s="3">
        <v>17</v>
      </c>
      <c r="W15" s="3">
        <v>5000</v>
      </c>
      <c r="X15" s="3"/>
      <c r="Y15" s="3">
        <v>6000</v>
      </c>
      <c r="Z15" s="3" t="s">
        <v>41</v>
      </c>
      <c r="AA15" s="3" t="s">
        <v>42</v>
      </c>
      <c r="AB15" s="3" t="s">
        <v>43</v>
      </c>
      <c r="AC15" s="4" t="s">
        <v>44</v>
      </c>
      <c r="AD15" s="4" t="s">
        <v>44</v>
      </c>
      <c r="AE15" t="s">
        <v>45</v>
      </c>
      <c r="AF15" t="s">
        <v>46</v>
      </c>
    </row>
    <row r="16" spans="1:38" ht="14.1" customHeight="1">
      <c r="A16" s="1" t="s">
        <v>38</v>
      </c>
      <c r="B16" t="s">
        <v>61</v>
      </c>
      <c r="C16" s="3">
        <v>1369679</v>
      </c>
      <c r="D16" s="3"/>
      <c r="E16" s="3">
        <v>149477</v>
      </c>
      <c r="F16" s="3">
        <v>37369</v>
      </c>
      <c r="G16" s="3">
        <v>225364</v>
      </c>
      <c r="H16" s="3">
        <v>73766</v>
      </c>
      <c r="I16" s="3"/>
      <c r="J16" s="3">
        <v>0</v>
      </c>
      <c r="K16" s="3">
        <v>0</v>
      </c>
      <c r="L16" s="3">
        <v>0</v>
      </c>
      <c r="M16" s="3">
        <v>244729</v>
      </c>
      <c r="N16" s="3"/>
      <c r="O16" s="3">
        <v>880220</v>
      </c>
      <c r="P16" s="3">
        <v>88022</v>
      </c>
      <c r="Q16" s="3">
        <v>1146380</v>
      </c>
      <c r="R16" s="3" t="s">
        <v>40</v>
      </c>
      <c r="S16">
        <v>6</v>
      </c>
      <c r="T16">
        <v>12</v>
      </c>
      <c r="U16" s="3">
        <v>87120</v>
      </c>
      <c r="V16" s="3">
        <v>17</v>
      </c>
      <c r="W16" s="3">
        <v>5000</v>
      </c>
      <c r="X16" s="3"/>
      <c r="Y16" s="3">
        <v>6000</v>
      </c>
      <c r="Z16" s="3" t="s">
        <v>41</v>
      </c>
      <c r="AA16" s="3" t="s">
        <v>42</v>
      </c>
      <c r="AB16" s="3" t="s">
        <v>43</v>
      </c>
      <c r="AC16" s="4" t="s">
        <v>44</v>
      </c>
      <c r="AD16" s="4" t="s">
        <v>44</v>
      </c>
      <c r="AE16" t="s">
        <v>45</v>
      </c>
      <c r="AF16" t="s">
        <v>46</v>
      </c>
    </row>
    <row r="17" spans="1:32">
      <c r="A17" s="1" t="s">
        <v>38</v>
      </c>
      <c r="B17" s="13" t="s">
        <v>62</v>
      </c>
      <c r="C17" s="12">
        <v>1273094</v>
      </c>
      <c r="D17" s="12">
        <v>791472</v>
      </c>
      <c r="E17" s="12">
        <v>149477</v>
      </c>
      <c r="F17" s="12">
        <v>37369</v>
      </c>
      <c r="G17" s="12">
        <v>128779</v>
      </c>
      <c r="H17" s="12">
        <v>73766</v>
      </c>
      <c r="I17" s="12"/>
      <c r="J17" s="12">
        <v>0</v>
      </c>
      <c r="K17" s="12">
        <v>0</v>
      </c>
      <c r="L17" s="12">
        <v>0</v>
      </c>
      <c r="M17" s="12">
        <v>244729</v>
      </c>
      <c r="N17" s="12"/>
      <c r="O17" s="13">
        <v>783635</v>
      </c>
      <c r="P17" s="13">
        <v>78363</v>
      </c>
      <c r="Q17" s="13">
        <v>1017635</v>
      </c>
      <c r="R17" s="13" t="s">
        <v>40</v>
      </c>
      <c r="S17">
        <v>6</v>
      </c>
      <c r="T17">
        <v>12</v>
      </c>
      <c r="U17" s="3">
        <v>87120</v>
      </c>
      <c r="V17" s="3">
        <v>17</v>
      </c>
      <c r="W17" s="3">
        <v>5000</v>
      </c>
      <c r="X17" s="3"/>
      <c r="Y17" s="3">
        <v>6000</v>
      </c>
      <c r="Z17" s="3" t="s">
        <v>41</v>
      </c>
      <c r="AA17" s="3" t="s">
        <v>42</v>
      </c>
      <c r="AB17" s="3" t="s">
        <v>43</v>
      </c>
      <c r="AC17" s="4" t="s">
        <v>44</v>
      </c>
      <c r="AD17" s="4" t="s">
        <v>44</v>
      </c>
      <c r="AE17" t="s">
        <v>45</v>
      </c>
      <c r="AF17" t="s">
        <v>46</v>
      </c>
    </row>
    <row r="18" spans="1:32">
      <c r="A18" s="1" t="s">
        <v>38</v>
      </c>
      <c r="B18" s="13" t="s">
        <v>63</v>
      </c>
      <c r="C18" s="12">
        <v>1305289</v>
      </c>
      <c r="D18" s="12">
        <v>823989</v>
      </c>
      <c r="E18" s="12">
        <v>149477</v>
      </c>
      <c r="F18" s="12">
        <v>37369</v>
      </c>
      <c r="G18" s="12">
        <v>160974</v>
      </c>
      <c r="H18" s="12">
        <v>73766</v>
      </c>
      <c r="I18" s="12"/>
      <c r="J18" s="12">
        <v>0</v>
      </c>
      <c r="K18" s="12">
        <v>0</v>
      </c>
      <c r="L18" s="12">
        <v>0</v>
      </c>
      <c r="M18" s="12">
        <v>244729</v>
      </c>
      <c r="N18" s="12"/>
      <c r="O18" s="13">
        <v>815830</v>
      </c>
      <c r="P18" s="13">
        <v>81583</v>
      </c>
      <c r="Q18" s="13">
        <v>1058684</v>
      </c>
      <c r="R18" s="13" t="s">
        <v>40</v>
      </c>
      <c r="S18">
        <v>6</v>
      </c>
      <c r="T18">
        <v>12</v>
      </c>
      <c r="U18" s="3">
        <v>87120</v>
      </c>
      <c r="V18" s="3">
        <v>17</v>
      </c>
      <c r="W18" s="3">
        <v>5000</v>
      </c>
      <c r="X18" s="3"/>
      <c r="Y18" s="3">
        <v>6000</v>
      </c>
      <c r="Z18" s="3" t="s">
        <v>41</v>
      </c>
      <c r="AA18" s="3" t="s">
        <v>42</v>
      </c>
      <c r="AB18" s="3" t="s">
        <v>43</v>
      </c>
      <c r="AC18" s="4" t="s">
        <v>44</v>
      </c>
      <c r="AD18" s="4" t="s">
        <v>44</v>
      </c>
      <c r="AE18" t="s">
        <v>45</v>
      </c>
      <c r="AF18" t="s">
        <v>46</v>
      </c>
    </row>
    <row r="19" spans="1:32">
      <c r="A19" s="1" t="s">
        <v>38</v>
      </c>
      <c r="B19" s="3" t="s">
        <v>64</v>
      </c>
      <c r="C19" s="3"/>
      <c r="D19" s="3">
        <v>791472</v>
      </c>
      <c r="E19" s="3">
        <v>149477</v>
      </c>
      <c r="F19" s="3">
        <v>37369</v>
      </c>
      <c r="G19" s="3">
        <v>128779</v>
      </c>
      <c r="H19" s="3">
        <v>73766</v>
      </c>
      <c r="I19" s="3"/>
      <c r="J19" s="59">
        <v>0</v>
      </c>
      <c r="K19" s="59">
        <v>0</v>
      </c>
      <c r="L19" s="59">
        <v>0</v>
      </c>
      <c r="M19" s="3">
        <v>244729</v>
      </c>
      <c r="N19" s="3"/>
      <c r="O19" s="3"/>
      <c r="P19" s="3"/>
      <c r="Q19" s="3"/>
      <c r="R19" s="3" t="s">
        <v>40</v>
      </c>
      <c r="S19">
        <v>6</v>
      </c>
      <c r="T19">
        <v>12</v>
      </c>
      <c r="U19" s="3">
        <v>87120</v>
      </c>
      <c r="V19" s="3">
        <v>17</v>
      </c>
      <c r="W19" s="3">
        <v>5000</v>
      </c>
      <c r="X19" s="3"/>
      <c r="Y19" s="3">
        <v>6000</v>
      </c>
      <c r="Z19" s="3" t="s">
        <v>41</v>
      </c>
      <c r="AA19" s="3" t="s">
        <v>42</v>
      </c>
      <c r="AB19" s="3" t="s">
        <v>43</v>
      </c>
      <c r="AC19" s="4" t="s">
        <v>44</v>
      </c>
      <c r="AD19" s="4" t="s">
        <v>44</v>
      </c>
      <c r="AE19" t="s">
        <v>45</v>
      </c>
      <c r="AF19" t="s">
        <v>46</v>
      </c>
    </row>
    <row r="20" spans="1:32">
      <c r="A20" s="1" t="s">
        <v>38</v>
      </c>
      <c r="B20" s="3" t="s">
        <v>65</v>
      </c>
      <c r="C20" s="3">
        <v>1183094</v>
      </c>
      <c r="D20" s="3">
        <v>700572</v>
      </c>
      <c r="E20" s="3">
        <v>149477</v>
      </c>
      <c r="F20" s="3">
        <v>37369</v>
      </c>
      <c r="G20" s="3">
        <v>128779</v>
      </c>
      <c r="H20" s="3">
        <v>73766</v>
      </c>
      <c r="I20" s="3"/>
      <c r="J20" s="59">
        <v>0</v>
      </c>
      <c r="K20" s="59">
        <v>0</v>
      </c>
      <c r="L20" s="59">
        <v>0</v>
      </c>
      <c r="M20" s="3">
        <v>244729</v>
      </c>
      <c r="N20" s="3"/>
      <c r="O20" s="3">
        <v>693636</v>
      </c>
      <c r="P20" s="3">
        <v>78364</v>
      </c>
      <c r="Q20" s="3">
        <v>892481</v>
      </c>
      <c r="R20" s="3" t="s">
        <v>40</v>
      </c>
      <c r="S20">
        <v>6</v>
      </c>
      <c r="T20">
        <v>12</v>
      </c>
      <c r="U20" s="3">
        <v>87120</v>
      </c>
      <c r="V20" s="3">
        <v>17</v>
      </c>
      <c r="W20" s="3">
        <v>5000</v>
      </c>
      <c r="X20" s="3"/>
      <c r="Y20" s="3">
        <v>6000</v>
      </c>
      <c r="Z20" s="3" t="s">
        <v>41</v>
      </c>
      <c r="AA20" s="3" t="s">
        <v>42</v>
      </c>
      <c r="AB20" s="3" t="s">
        <v>43</v>
      </c>
      <c r="AC20" s="4" t="s">
        <v>44</v>
      </c>
      <c r="AD20" s="4" t="s">
        <v>44</v>
      </c>
      <c r="AE20" t="s">
        <v>45</v>
      </c>
      <c r="AF20" t="s">
        <v>46</v>
      </c>
    </row>
    <row r="21" spans="1:32">
      <c r="A21" s="1" t="s">
        <v>38</v>
      </c>
      <c r="B21" s="3" t="s">
        <v>66</v>
      </c>
      <c r="C21" s="15">
        <v>1183094</v>
      </c>
      <c r="D21" s="15">
        <v>700572</v>
      </c>
      <c r="E21" s="3">
        <v>149477</v>
      </c>
      <c r="F21" s="3">
        <v>37369</v>
      </c>
      <c r="G21" s="3">
        <v>128779</v>
      </c>
      <c r="H21" s="3">
        <v>73766</v>
      </c>
      <c r="I21" s="3"/>
      <c r="J21" s="59">
        <v>0</v>
      </c>
      <c r="K21" s="59">
        <v>0</v>
      </c>
      <c r="L21" s="59">
        <v>0</v>
      </c>
      <c r="M21" s="3">
        <v>244729</v>
      </c>
      <c r="N21" s="3"/>
      <c r="O21" s="15">
        <v>693636</v>
      </c>
      <c r="P21" s="3">
        <v>78364</v>
      </c>
      <c r="Q21" s="15">
        <v>882481</v>
      </c>
      <c r="R21" s="3" t="s">
        <v>40</v>
      </c>
      <c r="S21">
        <v>6</v>
      </c>
      <c r="T21">
        <v>12</v>
      </c>
      <c r="U21" s="3">
        <v>87120</v>
      </c>
      <c r="V21" s="3">
        <v>17</v>
      </c>
      <c r="W21" s="3">
        <v>5000</v>
      </c>
      <c r="X21" s="3"/>
      <c r="Y21" s="3">
        <v>6000</v>
      </c>
      <c r="Z21" s="3" t="s">
        <v>41</v>
      </c>
      <c r="AA21" s="3" t="s">
        <v>42</v>
      </c>
      <c r="AB21" s="3" t="s">
        <v>43</v>
      </c>
      <c r="AC21" s="4" t="s">
        <v>44</v>
      </c>
      <c r="AD21" s="4" t="s">
        <v>44</v>
      </c>
      <c r="AE21" t="s">
        <v>45</v>
      </c>
      <c r="AF21" t="s">
        <v>46</v>
      </c>
    </row>
    <row r="22" spans="1:32">
      <c r="A22" s="1" t="s">
        <v>38</v>
      </c>
      <c r="B22" s="3" t="s">
        <v>67</v>
      </c>
      <c r="C22" s="12">
        <v>1273094</v>
      </c>
      <c r="D22" s="12">
        <v>791472</v>
      </c>
      <c r="E22" s="12">
        <v>149477</v>
      </c>
      <c r="F22" s="12">
        <v>37369</v>
      </c>
      <c r="G22" s="12">
        <v>128779</v>
      </c>
      <c r="H22" s="12">
        <v>73766</v>
      </c>
      <c r="I22" s="12"/>
      <c r="J22" s="59">
        <v>0</v>
      </c>
      <c r="K22" s="59">
        <v>0</v>
      </c>
      <c r="L22" s="59">
        <v>0</v>
      </c>
      <c r="M22" s="3">
        <v>244729</v>
      </c>
      <c r="N22" s="3"/>
      <c r="O22" s="13">
        <v>783635</v>
      </c>
      <c r="P22" s="13">
        <v>78363</v>
      </c>
      <c r="Q22" s="13">
        <v>1004882</v>
      </c>
      <c r="R22" s="13" t="s">
        <v>40</v>
      </c>
      <c r="S22">
        <v>6</v>
      </c>
      <c r="T22">
        <v>12</v>
      </c>
      <c r="U22" s="3">
        <v>87120</v>
      </c>
      <c r="V22" s="3">
        <v>17</v>
      </c>
      <c r="W22" s="3">
        <v>5000</v>
      </c>
      <c r="X22" s="3"/>
      <c r="Y22" s="3">
        <v>6000</v>
      </c>
      <c r="Z22" s="3" t="s">
        <v>41</v>
      </c>
      <c r="AA22" s="3" t="s">
        <v>42</v>
      </c>
      <c r="AB22" s="3" t="s">
        <v>43</v>
      </c>
      <c r="AC22" s="4" t="s">
        <v>44</v>
      </c>
      <c r="AD22" s="4" t="s">
        <v>44</v>
      </c>
      <c r="AE22" t="s">
        <v>45</v>
      </c>
      <c r="AF22" t="s">
        <v>46</v>
      </c>
    </row>
    <row r="23" spans="1:32">
      <c r="A23" s="1" t="s">
        <v>38</v>
      </c>
      <c r="B23" s="3" t="s">
        <v>67</v>
      </c>
      <c r="C23" s="12"/>
      <c r="D23" s="12"/>
      <c r="E23" s="12"/>
      <c r="F23" s="12"/>
      <c r="G23" s="12"/>
      <c r="H23" s="12"/>
      <c r="I23" s="12"/>
      <c r="J23" s="59">
        <v>0</v>
      </c>
      <c r="K23" s="59">
        <v>0</v>
      </c>
      <c r="L23" s="59">
        <v>0</v>
      </c>
      <c r="M23" s="3"/>
      <c r="N23" s="3"/>
      <c r="O23" s="13"/>
      <c r="P23" s="13"/>
      <c r="Q23" s="13"/>
      <c r="R23" s="13" t="s">
        <v>40</v>
      </c>
      <c r="S23">
        <v>6</v>
      </c>
      <c r="T23">
        <v>12</v>
      </c>
      <c r="U23" s="3">
        <v>87120</v>
      </c>
      <c r="V23" s="3">
        <v>17</v>
      </c>
      <c r="W23" s="3">
        <v>5000</v>
      </c>
      <c r="X23" s="3"/>
      <c r="Y23" s="3">
        <v>6000</v>
      </c>
      <c r="Z23" s="3" t="s">
        <v>41</v>
      </c>
      <c r="AA23" s="3" t="s">
        <v>42</v>
      </c>
      <c r="AB23" s="3" t="s">
        <v>43</v>
      </c>
      <c r="AC23" s="4" t="s">
        <v>44</v>
      </c>
      <c r="AD23" s="4" t="s">
        <v>44</v>
      </c>
      <c r="AE23" t="s">
        <v>45</v>
      </c>
      <c r="AF23" t="s">
        <v>46</v>
      </c>
    </row>
    <row r="24" spans="1:32">
      <c r="A24" s="1" t="s">
        <v>38</v>
      </c>
      <c r="B24" s="18" t="s">
        <v>68</v>
      </c>
      <c r="C24" s="18">
        <v>4174699</v>
      </c>
      <c r="D24" s="18">
        <v>1224745</v>
      </c>
      <c r="E24" s="18">
        <v>199416</v>
      </c>
      <c r="F24" s="18">
        <v>14842</v>
      </c>
      <c r="G24" s="18">
        <v>413515</v>
      </c>
      <c r="H24" s="18">
        <v>163572</v>
      </c>
      <c r="I24" s="18"/>
      <c r="J24" s="18">
        <v>0</v>
      </c>
      <c r="K24" s="18">
        <v>0</v>
      </c>
      <c r="L24" s="18">
        <v>0</v>
      </c>
      <c r="M24" s="18"/>
      <c r="N24" s="18"/>
      <c r="O24" s="20">
        <v>1212619.1199999901</v>
      </c>
      <c r="P24" s="20">
        <v>121261.882</v>
      </c>
      <c r="Q24" s="20">
        <v>1607526.3123999999</v>
      </c>
      <c r="R24" s="20" t="s">
        <v>40</v>
      </c>
      <c r="S24">
        <v>6</v>
      </c>
      <c r="T24">
        <v>12</v>
      </c>
      <c r="U24" s="3">
        <v>87120</v>
      </c>
      <c r="V24" s="3">
        <v>17</v>
      </c>
      <c r="W24" s="3">
        <v>5000</v>
      </c>
      <c r="X24" s="3"/>
      <c r="Y24" s="3">
        <v>6000</v>
      </c>
      <c r="Z24" s="3" t="s">
        <v>41</v>
      </c>
      <c r="AA24" s="3" t="s">
        <v>42</v>
      </c>
      <c r="AB24" s="3" t="s">
        <v>43</v>
      </c>
      <c r="AC24" s="4" t="s">
        <v>44</v>
      </c>
      <c r="AD24" s="4" t="s">
        <v>44</v>
      </c>
      <c r="AE24" t="s">
        <v>45</v>
      </c>
      <c r="AF24" t="s">
        <v>46</v>
      </c>
    </row>
    <row r="25" spans="1:32">
      <c r="A25" s="1" t="s">
        <v>38</v>
      </c>
      <c r="B25" s="18" t="s">
        <v>69</v>
      </c>
      <c r="C25" s="18">
        <v>4088530</v>
      </c>
      <c r="D25" s="18">
        <v>1137715</v>
      </c>
      <c r="E25" s="18">
        <v>199416</v>
      </c>
      <c r="F25" s="18">
        <v>14842</v>
      </c>
      <c r="G25" s="18">
        <v>327346</v>
      </c>
      <c r="H25" s="18">
        <v>163572</v>
      </c>
      <c r="I25" s="18"/>
      <c r="J25" s="18">
        <v>0</v>
      </c>
      <c r="K25" s="18">
        <v>0</v>
      </c>
      <c r="L25" s="18">
        <v>0</v>
      </c>
      <c r="M25" s="18">
        <v>1481040</v>
      </c>
      <c r="N25" s="18"/>
      <c r="O25" s="20">
        <v>1126450.1199999901</v>
      </c>
      <c r="P25" s="20">
        <v>112644.982</v>
      </c>
      <c r="Q25" s="20">
        <v>1498091.68239999</v>
      </c>
      <c r="R25" s="20" t="s">
        <v>40</v>
      </c>
      <c r="S25">
        <v>6</v>
      </c>
      <c r="T25">
        <v>12</v>
      </c>
      <c r="U25" s="3">
        <v>87120</v>
      </c>
      <c r="V25" s="3">
        <v>17</v>
      </c>
      <c r="W25" s="3">
        <v>5000</v>
      </c>
      <c r="X25" s="3"/>
      <c r="Y25" s="3">
        <v>6000</v>
      </c>
      <c r="Z25" s="3" t="s">
        <v>41</v>
      </c>
      <c r="AA25" s="3" t="s">
        <v>42</v>
      </c>
      <c r="AB25" s="3" t="s">
        <v>43</v>
      </c>
      <c r="AC25" s="4" t="s">
        <v>44</v>
      </c>
      <c r="AD25" s="4" t="s">
        <v>44</v>
      </c>
      <c r="AE25" t="s">
        <v>45</v>
      </c>
      <c r="AF25" t="s">
        <v>46</v>
      </c>
    </row>
    <row r="26" spans="1:32">
      <c r="A26" s="1" t="s">
        <v>38</v>
      </c>
      <c r="B26" s="18" t="s">
        <v>70</v>
      </c>
      <c r="C26" s="18">
        <v>3938708</v>
      </c>
      <c r="D26" s="18">
        <v>986394</v>
      </c>
      <c r="E26" s="18">
        <v>199416</v>
      </c>
      <c r="F26" s="18">
        <v>14842</v>
      </c>
      <c r="G26" s="18">
        <v>177524</v>
      </c>
      <c r="H26" s="18"/>
      <c r="I26" s="18"/>
      <c r="J26" s="18">
        <v>0</v>
      </c>
      <c r="K26" s="18">
        <v>0</v>
      </c>
      <c r="L26" s="18">
        <v>0</v>
      </c>
      <c r="M26" s="18">
        <v>1481040</v>
      </c>
      <c r="N26" s="18"/>
      <c r="O26" s="20">
        <v>976628.12</v>
      </c>
      <c r="P26" s="20">
        <v>97662.781999999905</v>
      </c>
      <c r="Q26" s="20">
        <v>1307817.7424000001</v>
      </c>
      <c r="R26" s="20" t="s">
        <v>40</v>
      </c>
      <c r="S26">
        <v>6</v>
      </c>
      <c r="T26">
        <v>12</v>
      </c>
      <c r="U26" s="3">
        <v>87120</v>
      </c>
      <c r="V26" s="3">
        <v>17</v>
      </c>
      <c r="W26" s="3">
        <v>5000</v>
      </c>
      <c r="X26" s="3"/>
      <c r="Y26" s="3">
        <v>6000</v>
      </c>
      <c r="Z26" s="3" t="s">
        <v>41</v>
      </c>
      <c r="AA26" s="3" t="s">
        <v>42</v>
      </c>
      <c r="AB26" s="3" t="s">
        <v>43</v>
      </c>
      <c r="AC26" s="4" t="s">
        <v>44</v>
      </c>
      <c r="AD26" s="4" t="s">
        <v>44</v>
      </c>
      <c r="AE26" t="s">
        <v>45</v>
      </c>
      <c r="AF26" t="s">
        <v>46</v>
      </c>
    </row>
    <row r="27" spans="1:32">
      <c r="A27" s="1" t="s">
        <v>38</v>
      </c>
      <c r="B27" s="18" t="s">
        <v>71</v>
      </c>
      <c r="C27" s="18">
        <v>3860938</v>
      </c>
      <c r="D27" s="18">
        <v>907847</v>
      </c>
      <c r="E27" s="18">
        <v>172107</v>
      </c>
      <c r="F27" s="18">
        <v>21532</v>
      </c>
      <c r="G27" s="18">
        <v>177524</v>
      </c>
      <c r="H27" s="18">
        <v>138032</v>
      </c>
      <c r="I27" s="18"/>
      <c r="J27" s="18">
        <v>0</v>
      </c>
      <c r="K27" s="18">
        <v>0</v>
      </c>
      <c r="L27" s="18">
        <v>0</v>
      </c>
      <c r="M27" s="18">
        <v>1481040</v>
      </c>
      <c r="N27" s="18"/>
      <c r="O27" s="20">
        <v>898858</v>
      </c>
      <c r="P27" s="20">
        <v>89885</v>
      </c>
      <c r="Q27" s="20">
        <v>1209049</v>
      </c>
      <c r="R27" s="20" t="s">
        <v>40</v>
      </c>
      <c r="S27">
        <v>6</v>
      </c>
      <c r="T27">
        <v>12</v>
      </c>
      <c r="U27" s="3">
        <v>87120</v>
      </c>
      <c r="V27" s="3">
        <v>17</v>
      </c>
      <c r="W27" s="3">
        <v>5000</v>
      </c>
      <c r="X27" s="3"/>
      <c r="Y27" s="3">
        <v>6000</v>
      </c>
      <c r="Z27" s="3" t="s">
        <v>41</v>
      </c>
      <c r="AA27" s="3" t="s">
        <v>42</v>
      </c>
      <c r="AB27" s="3" t="s">
        <v>43</v>
      </c>
      <c r="AC27" s="4" t="s">
        <v>44</v>
      </c>
      <c r="AD27" s="4" t="s">
        <v>44</v>
      </c>
      <c r="AE27" t="s">
        <v>45</v>
      </c>
      <c r="AF27" t="s">
        <v>46</v>
      </c>
    </row>
    <row r="28" spans="1:32">
      <c r="A28" s="1" t="s">
        <v>38</v>
      </c>
      <c r="B28" s="18" t="s">
        <v>71</v>
      </c>
      <c r="C28" s="18">
        <v>3844069</v>
      </c>
      <c r="D28" s="18">
        <v>890809</v>
      </c>
      <c r="E28" s="18">
        <v>166270</v>
      </c>
      <c r="F28" s="18">
        <v>21532</v>
      </c>
      <c r="G28" s="18"/>
      <c r="H28" s="18"/>
      <c r="I28" s="18"/>
      <c r="J28" s="18">
        <v>0</v>
      </c>
      <c r="K28" s="18">
        <v>0</v>
      </c>
      <c r="L28" s="18">
        <v>0</v>
      </c>
      <c r="M28" s="18"/>
      <c r="N28" s="18"/>
      <c r="O28" s="20"/>
      <c r="P28" s="20"/>
      <c r="Q28" s="20"/>
      <c r="R28" s="20" t="s">
        <v>40</v>
      </c>
      <c r="S28">
        <v>6</v>
      </c>
      <c r="T28">
        <v>12</v>
      </c>
      <c r="U28" s="3">
        <v>87120</v>
      </c>
      <c r="V28" s="3">
        <v>17</v>
      </c>
      <c r="W28" s="3">
        <v>5000</v>
      </c>
      <c r="X28" s="3"/>
      <c r="Y28" s="3">
        <v>6000</v>
      </c>
      <c r="Z28" s="3" t="s">
        <v>41</v>
      </c>
      <c r="AA28" s="3" t="s">
        <v>42</v>
      </c>
      <c r="AB28" s="3" t="s">
        <v>43</v>
      </c>
      <c r="AC28" s="4" t="s">
        <v>44</v>
      </c>
      <c r="AD28" s="4" t="s">
        <v>44</v>
      </c>
      <c r="AE28" t="s">
        <v>45</v>
      </c>
      <c r="AF28" t="s">
        <v>46</v>
      </c>
    </row>
    <row r="29" spans="1:32">
      <c r="A29" s="1" t="s">
        <v>38</v>
      </c>
      <c r="B29" s="3" t="s">
        <v>72</v>
      </c>
      <c r="C29" s="3">
        <v>3911602</v>
      </c>
      <c r="D29" s="3">
        <v>959017</v>
      </c>
      <c r="E29" s="3">
        <v>174517</v>
      </c>
      <c r="F29" s="3">
        <v>16132</v>
      </c>
      <c r="G29" s="3">
        <v>217229</v>
      </c>
      <c r="H29" s="3">
        <v>163572</v>
      </c>
      <c r="I29" s="3"/>
      <c r="J29" s="59">
        <v>0</v>
      </c>
      <c r="K29" s="59">
        <v>0</v>
      </c>
      <c r="L29" s="59">
        <v>0</v>
      </c>
      <c r="M29" s="3">
        <v>1481040</v>
      </c>
      <c r="N29" s="3"/>
      <c r="O29" s="3">
        <v>949522</v>
      </c>
      <c r="P29" s="3">
        <v>94952.180999999997</v>
      </c>
      <c r="Q29" s="3">
        <v>1199597.8885999999</v>
      </c>
      <c r="R29" s="3" t="s">
        <v>40</v>
      </c>
      <c r="S29">
        <v>6</v>
      </c>
      <c r="T29">
        <v>12</v>
      </c>
      <c r="U29" s="3">
        <v>87120</v>
      </c>
      <c r="V29" s="3">
        <v>17</v>
      </c>
      <c r="W29" s="3">
        <v>5000</v>
      </c>
      <c r="X29" s="3"/>
      <c r="Y29" s="3">
        <v>6000</v>
      </c>
      <c r="Z29" s="3" t="s">
        <v>41</v>
      </c>
      <c r="AA29" s="3" t="s">
        <v>42</v>
      </c>
      <c r="AB29" s="3" t="s">
        <v>43</v>
      </c>
      <c r="AC29" s="4" t="s">
        <v>44</v>
      </c>
      <c r="AD29" s="4" t="s">
        <v>44</v>
      </c>
      <c r="AE29" t="s">
        <v>45</v>
      </c>
      <c r="AF29" t="s">
        <v>46</v>
      </c>
    </row>
    <row r="30" spans="1:32">
      <c r="A30" s="1" t="s">
        <v>38</v>
      </c>
      <c r="B30" s="3" t="s">
        <v>73</v>
      </c>
      <c r="C30" s="3">
        <v>3426938</v>
      </c>
      <c r="D30" s="3">
        <v>287706</v>
      </c>
      <c r="E30" s="3">
        <v>174517</v>
      </c>
      <c r="F30" s="3">
        <v>16132</v>
      </c>
      <c r="G30" s="3">
        <v>65169</v>
      </c>
      <c r="H30" s="3"/>
      <c r="I30" s="3"/>
      <c r="J30" s="59">
        <v>0</v>
      </c>
      <c r="K30" s="59">
        <v>0</v>
      </c>
      <c r="L30" s="59">
        <v>0</v>
      </c>
      <c r="M30" s="3"/>
      <c r="N30" s="3"/>
      <c r="R30" s="3" t="s">
        <v>40</v>
      </c>
      <c r="S30">
        <v>6</v>
      </c>
      <c r="T30">
        <v>12</v>
      </c>
      <c r="U30" s="3">
        <v>87120</v>
      </c>
      <c r="V30" s="3">
        <v>17</v>
      </c>
      <c r="W30" s="3">
        <v>5000</v>
      </c>
      <c r="X30" s="3"/>
      <c r="Y30" s="3">
        <v>6000</v>
      </c>
      <c r="Z30" s="3" t="s">
        <v>41</v>
      </c>
      <c r="AA30" s="3" t="s">
        <v>42</v>
      </c>
      <c r="AB30" s="3" t="s">
        <v>43</v>
      </c>
      <c r="AC30" s="4" t="s">
        <v>44</v>
      </c>
      <c r="AD30" s="4" t="s">
        <v>44</v>
      </c>
      <c r="AE30" t="s">
        <v>45</v>
      </c>
      <c r="AF30" t="s">
        <v>46</v>
      </c>
    </row>
    <row r="31" spans="1:32">
      <c r="A31" s="1" t="s">
        <v>38</v>
      </c>
      <c r="B31" s="3" t="s">
        <v>74</v>
      </c>
      <c r="C31" s="3">
        <v>3626745</v>
      </c>
      <c r="D31" s="3">
        <v>671312</v>
      </c>
      <c r="E31" s="3">
        <v>174517</v>
      </c>
      <c r="F31" s="3">
        <v>16132</v>
      </c>
      <c r="G31" s="3">
        <v>152060</v>
      </c>
      <c r="H31" s="3"/>
      <c r="I31" s="3"/>
      <c r="J31" s="59">
        <v>0</v>
      </c>
      <c r="K31" s="59">
        <v>0</v>
      </c>
      <c r="L31" s="59">
        <v>0</v>
      </c>
      <c r="M31" s="3"/>
      <c r="N31" s="3"/>
      <c r="R31" s="3" t="s">
        <v>40</v>
      </c>
      <c r="S31">
        <v>6</v>
      </c>
      <c r="T31">
        <v>12</v>
      </c>
      <c r="U31" s="3">
        <v>87120</v>
      </c>
      <c r="V31" s="3">
        <v>17</v>
      </c>
      <c r="W31" s="3">
        <v>5000</v>
      </c>
      <c r="X31" s="3"/>
      <c r="Y31" s="3">
        <v>6000</v>
      </c>
      <c r="Z31" s="3" t="s">
        <v>41</v>
      </c>
      <c r="AA31" s="3" t="s">
        <v>42</v>
      </c>
      <c r="AB31" s="3" t="s">
        <v>43</v>
      </c>
      <c r="AC31" s="4" t="s">
        <v>44</v>
      </c>
      <c r="AD31" s="4" t="s">
        <v>44</v>
      </c>
      <c r="AE31" t="s">
        <v>45</v>
      </c>
      <c r="AF31" t="s">
        <v>46</v>
      </c>
    </row>
    <row r="32" spans="1:32">
      <c r="A32" s="1" t="s">
        <v>38</v>
      </c>
      <c r="B32" s="34" t="s">
        <v>75</v>
      </c>
      <c r="C32" s="34">
        <v>3653329</v>
      </c>
      <c r="D32" s="34">
        <v>698161</v>
      </c>
      <c r="E32" s="34">
        <v>186614</v>
      </c>
      <c r="F32" s="34">
        <v>16888</v>
      </c>
      <c r="G32" s="34">
        <v>152060</v>
      </c>
      <c r="H32" s="3"/>
      <c r="I32" s="3"/>
      <c r="J32" s="59">
        <v>0</v>
      </c>
      <c r="K32" s="59">
        <v>0</v>
      </c>
      <c r="L32" s="59">
        <v>0</v>
      </c>
      <c r="M32" s="3"/>
      <c r="N32" s="3"/>
      <c r="R32" s="3" t="s">
        <v>40</v>
      </c>
      <c r="S32">
        <v>6</v>
      </c>
      <c r="T32">
        <v>12</v>
      </c>
      <c r="U32" s="3">
        <v>87120</v>
      </c>
      <c r="V32" s="3">
        <v>17</v>
      </c>
      <c r="W32" s="3">
        <v>5000</v>
      </c>
      <c r="X32" s="3"/>
      <c r="Y32" s="3">
        <v>6000</v>
      </c>
      <c r="Z32" s="3" t="s">
        <v>41</v>
      </c>
      <c r="AA32" s="3" t="s">
        <v>42</v>
      </c>
      <c r="AB32" s="3" t="s">
        <v>43</v>
      </c>
      <c r="AC32" s="4" t="s">
        <v>44</v>
      </c>
      <c r="AD32" s="4" t="s">
        <v>44</v>
      </c>
      <c r="AE32" t="s">
        <v>45</v>
      </c>
      <c r="AF32" t="s">
        <v>46</v>
      </c>
    </row>
    <row r="33" spans="1:32">
      <c r="A33" s="1" t="s">
        <v>38</v>
      </c>
      <c r="B33" s="38" t="s">
        <v>76</v>
      </c>
      <c r="C33" s="38">
        <v>6615409</v>
      </c>
      <c r="D33" s="38">
        <v>698161</v>
      </c>
      <c r="E33" s="38">
        <v>186614</v>
      </c>
      <c r="F33" s="38">
        <v>16888</v>
      </c>
      <c r="G33" s="38">
        <v>152060</v>
      </c>
      <c r="H33" s="38">
        <v>114500</v>
      </c>
      <c r="I33" s="38"/>
      <c r="J33" s="59">
        <v>0</v>
      </c>
      <c r="K33" s="59">
        <v>0</v>
      </c>
      <c r="L33" s="59">
        <v>0</v>
      </c>
      <c r="M33" s="3"/>
      <c r="N33" s="3"/>
      <c r="R33" s="3" t="s">
        <v>40</v>
      </c>
      <c r="S33">
        <v>6</v>
      </c>
      <c r="T33">
        <v>12</v>
      </c>
      <c r="U33" s="3">
        <v>87120</v>
      </c>
      <c r="V33" s="3">
        <v>17</v>
      </c>
      <c r="W33" s="3">
        <v>5000</v>
      </c>
      <c r="X33" s="3"/>
      <c r="Y33" s="3">
        <v>6000</v>
      </c>
      <c r="Z33" s="3" t="s">
        <v>41</v>
      </c>
      <c r="AA33" s="3" t="s">
        <v>42</v>
      </c>
      <c r="AB33" s="3" t="s">
        <v>43</v>
      </c>
      <c r="AC33" s="4" t="s">
        <v>44</v>
      </c>
      <c r="AD33" s="4" t="s">
        <v>44</v>
      </c>
      <c r="AE33" t="s">
        <v>45</v>
      </c>
      <c r="AF33" t="s">
        <v>46</v>
      </c>
    </row>
    <row r="34" spans="1:32">
      <c r="A34" s="1" t="s">
        <v>38</v>
      </c>
      <c r="B34" s="34" t="s">
        <v>77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R34" s="3" t="s">
        <v>40</v>
      </c>
      <c r="S34">
        <v>6</v>
      </c>
      <c r="T34">
        <v>12</v>
      </c>
      <c r="U34" s="3">
        <v>87120</v>
      </c>
      <c r="V34" s="3">
        <v>17</v>
      </c>
      <c r="W34" s="3">
        <v>5000</v>
      </c>
      <c r="X34" s="3"/>
      <c r="Y34" s="3">
        <v>6000</v>
      </c>
      <c r="Z34" s="3" t="s">
        <v>41</v>
      </c>
      <c r="AA34" s="3" t="s">
        <v>42</v>
      </c>
      <c r="AB34" s="3" t="s">
        <v>43</v>
      </c>
      <c r="AC34" s="4" t="s">
        <v>44</v>
      </c>
      <c r="AD34" s="4" t="s">
        <v>44</v>
      </c>
      <c r="AE34" t="s">
        <v>45</v>
      </c>
      <c r="AF34" t="s">
        <v>46</v>
      </c>
    </row>
    <row r="35" spans="1:32">
      <c r="A35" s="1" t="s">
        <v>38</v>
      </c>
      <c r="B35" s="38" t="s">
        <v>78</v>
      </c>
      <c r="C35" s="38">
        <v>5936669</v>
      </c>
      <c r="D35" s="38">
        <v>580335</v>
      </c>
      <c r="E35" s="38">
        <v>186466</v>
      </c>
      <c r="F35" s="38">
        <v>16980</v>
      </c>
      <c r="G35" s="38">
        <v>149943</v>
      </c>
      <c r="H35" s="38">
        <v>0</v>
      </c>
      <c r="I35" s="38"/>
      <c r="J35" s="38">
        <v>0</v>
      </c>
      <c r="K35" s="38"/>
      <c r="L35" s="38"/>
      <c r="M35" s="38">
        <v>1481040</v>
      </c>
      <c r="N35" s="38"/>
      <c r="O35" s="38">
        <v>574589</v>
      </c>
      <c r="P35" s="38">
        <v>57459</v>
      </c>
      <c r="Q35" s="38">
        <v>750101</v>
      </c>
      <c r="R35" s="38" t="s">
        <v>40</v>
      </c>
      <c r="S35">
        <v>6</v>
      </c>
      <c r="T35">
        <v>12</v>
      </c>
      <c r="U35" s="3">
        <v>87120</v>
      </c>
      <c r="V35" s="3">
        <v>17</v>
      </c>
      <c r="W35" s="3">
        <v>0</v>
      </c>
      <c r="X35" s="3">
        <v>0</v>
      </c>
      <c r="Y35" s="3">
        <v>6000</v>
      </c>
      <c r="Z35" s="3" t="s">
        <v>41</v>
      </c>
      <c r="AA35" s="3" t="s">
        <v>42</v>
      </c>
      <c r="AB35" s="3" t="s">
        <v>43</v>
      </c>
      <c r="AC35" s="4" t="s">
        <v>44</v>
      </c>
      <c r="AD35" s="4" t="s">
        <v>44</v>
      </c>
      <c r="AE35" t="s">
        <v>45</v>
      </c>
      <c r="AF35" t="s">
        <v>46</v>
      </c>
    </row>
    <row r="36" spans="1:32">
      <c r="A36" s="1" t="s">
        <v>38</v>
      </c>
      <c r="B36" t="s">
        <v>79</v>
      </c>
      <c r="C36" s="3">
        <v>5845674</v>
      </c>
      <c r="D36" s="3">
        <v>488430</v>
      </c>
      <c r="E36" s="38">
        <v>186466</v>
      </c>
      <c r="F36" s="38">
        <v>16980</v>
      </c>
      <c r="G36" s="38">
        <v>149943</v>
      </c>
      <c r="H36" s="38">
        <v>0</v>
      </c>
      <c r="I36" s="38"/>
      <c r="J36" s="38">
        <v>0</v>
      </c>
      <c r="K36" s="38"/>
      <c r="L36" s="38"/>
      <c r="M36" s="38">
        <v>1481040</v>
      </c>
      <c r="N36" s="38"/>
      <c r="O36" s="3">
        <v>483594</v>
      </c>
      <c r="P36" s="3">
        <v>48359</v>
      </c>
      <c r="Q36" s="3">
        <v>634082</v>
      </c>
      <c r="R36" s="3" t="s">
        <v>40</v>
      </c>
      <c r="S36">
        <v>6</v>
      </c>
      <c r="T36">
        <v>12</v>
      </c>
      <c r="U36" s="3">
        <v>87120</v>
      </c>
      <c r="V36" s="3">
        <v>17</v>
      </c>
      <c r="W36" s="3">
        <v>0</v>
      </c>
      <c r="X36" s="3">
        <v>0</v>
      </c>
      <c r="Y36" s="3">
        <v>6000</v>
      </c>
      <c r="Z36" s="3" t="s">
        <v>41</v>
      </c>
      <c r="AA36" s="3" t="s">
        <v>42</v>
      </c>
      <c r="AB36" s="3" t="s">
        <v>43</v>
      </c>
      <c r="AC36" s="4" t="s">
        <v>44</v>
      </c>
      <c r="AD36" s="4" t="s">
        <v>44</v>
      </c>
      <c r="AE36" t="s">
        <v>45</v>
      </c>
      <c r="AF36" t="s">
        <v>46</v>
      </c>
    </row>
    <row r="37" spans="1:32">
      <c r="A37" s="1" t="s">
        <v>38</v>
      </c>
      <c r="B37" t="s">
        <v>80</v>
      </c>
      <c r="C37" s="3">
        <v>5904539</v>
      </c>
      <c r="D37" s="3">
        <v>547884</v>
      </c>
      <c r="E37" s="38">
        <v>186466</v>
      </c>
      <c r="F37" s="38">
        <v>16980</v>
      </c>
      <c r="G37" s="3">
        <v>117813</v>
      </c>
      <c r="H37" s="38">
        <v>0</v>
      </c>
      <c r="I37" s="38"/>
      <c r="J37" s="38">
        <v>0</v>
      </c>
      <c r="K37" s="38"/>
      <c r="L37" s="38"/>
      <c r="M37" s="38">
        <v>1481040</v>
      </c>
      <c r="N37" s="38"/>
      <c r="O37" s="3">
        <v>542459</v>
      </c>
      <c r="P37" s="3">
        <v>54246</v>
      </c>
      <c r="Q37" s="3">
        <v>709135</v>
      </c>
      <c r="R37" s="3" t="s">
        <v>40</v>
      </c>
      <c r="S37">
        <v>6</v>
      </c>
      <c r="T37">
        <v>12</v>
      </c>
      <c r="U37" s="3">
        <v>87120</v>
      </c>
      <c r="V37" s="3">
        <v>17</v>
      </c>
      <c r="W37" s="3">
        <v>0</v>
      </c>
      <c r="X37" s="3">
        <v>0</v>
      </c>
      <c r="Y37" s="3">
        <v>6000</v>
      </c>
      <c r="Z37" s="3" t="s">
        <v>41</v>
      </c>
      <c r="AA37" s="3" t="s">
        <v>42</v>
      </c>
      <c r="AB37" s="3" t="s">
        <v>43</v>
      </c>
      <c r="AC37" s="4" t="s">
        <v>44</v>
      </c>
      <c r="AD37" s="4" t="s">
        <v>44</v>
      </c>
      <c r="AE37" t="s">
        <v>45</v>
      </c>
      <c r="AF37" t="s">
        <v>46</v>
      </c>
    </row>
    <row r="38" spans="1:32">
      <c r="A38" s="1" t="s">
        <v>38</v>
      </c>
      <c r="B38" t="s">
        <v>81</v>
      </c>
      <c r="C38" s="3">
        <v>5936669</v>
      </c>
      <c r="D38" s="3">
        <v>580335</v>
      </c>
      <c r="E38" s="38">
        <v>186466</v>
      </c>
      <c r="F38" s="38">
        <v>16980</v>
      </c>
      <c r="G38" s="38">
        <v>149943</v>
      </c>
      <c r="H38" s="38">
        <v>0</v>
      </c>
      <c r="I38" s="38"/>
      <c r="J38" s="38">
        <v>0</v>
      </c>
      <c r="K38" s="38"/>
      <c r="L38" s="38"/>
      <c r="M38" s="38">
        <v>1481040</v>
      </c>
      <c r="N38" s="38"/>
      <c r="O38" s="38">
        <v>574589</v>
      </c>
      <c r="P38" s="38">
        <v>57459</v>
      </c>
      <c r="Q38" s="38">
        <v>750101</v>
      </c>
      <c r="R38" s="38" t="s">
        <v>40</v>
      </c>
      <c r="S38">
        <v>6</v>
      </c>
      <c r="T38">
        <v>12</v>
      </c>
      <c r="U38" s="3">
        <v>87120</v>
      </c>
      <c r="V38" s="3">
        <v>17</v>
      </c>
      <c r="W38" s="3">
        <v>0</v>
      </c>
      <c r="X38" s="3">
        <v>0</v>
      </c>
      <c r="Y38" s="3">
        <v>6000</v>
      </c>
      <c r="Z38" s="3" t="s">
        <v>41</v>
      </c>
      <c r="AA38" s="3" t="s">
        <v>42</v>
      </c>
      <c r="AB38" s="3" t="s">
        <v>43</v>
      </c>
      <c r="AC38" s="4" t="s">
        <v>44</v>
      </c>
      <c r="AD38" s="4" t="s">
        <v>44</v>
      </c>
      <c r="AE38" t="s">
        <v>45</v>
      </c>
      <c r="AF38" t="s">
        <v>46</v>
      </c>
    </row>
    <row r="39" spans="1:32">
      <c r="A39" s="1" t="s">
        <v>38</v>
      </c>
      <c r="B39" t="s">
        <v>82</v>
      </c>
      <c r="C39" s="3">
        <v>6141878</v>
      </c>
      <c r="D39" s="3">
        <v>787596</v>
      </c>
      <c r="E39" s="38">
        <v>177142</v>
      </c>
      <c r="F39" s="38">
        <v>16131</v>
      </c>
      <c r="G39" s="38">
        <v>203495</v>
      </c>
      <c r="H39" s="38">
        <v>0</v>
      </c>
      <c r="I39" s="38"/>
      <c r="J39" s="38">
        <v>0</v>
      </c>
      <c r="K39" s="38"/>
      <c r="L39" s="38"/>
      <c r="M39" s="38">
        <v>1481040</v>
      </c>
      <c r="N39" s="38"/>
      <c r="O39" s="38">
        <v>779798</v>
      </c>
      <c r="P39" s="38">
        <v>77980</v>
      </c>
      <c r="Q39" s="38">
        <v>1011743</v>
      </c>
      <c r="R39" s="38" t="s">
        <v>40</v>
      </c>
      <c r="S39">
        <v>6</v>
      </c>
      <c r="T39">
        <v>12</v>
      </c>
      <c r="U39" s="3">
        <v>87120</v>
      </c>
      <c r="V39" s="3">
        <v>17</v>
      </c>
      <c r="W39" s="3">
        <v>0</v>
      </c>
      <c r="X39" s="3">
        <v>0</v>
      </c>
      <c r="Y39" s="3">
        <v>6000</v>
      </c>
      <c r="Z39" s="3" t="s">
        <v>41</v>
      </c>
      <c r="AA39" s="3" t="s">
        <v>42</v>
      </c>
      <c r="AB39" s="3" t="s">
        <v>43</v>
      </c>
      <c r="AC39" s="4" t="s">
        <v>44</v>
      </c>
      <c r="AD39" s="4" t="s">
        <v>44</v>
      </c>
      <c r="AE39" t="s">
        <v>45</v>
      </c>
      <c r="AF39" t="s">
        <v>46</v>
      </c>
    </row>
    <row r="40" spans="1:32">
      <c r="A40" s="1" t="s">
        <v>38</v>
      </c>
      <c r="B40" t="s">
        <v>83</v>
      </c>
      <c r="C40" s="3">
        <v>6095831</v>
      </c>
      <c r="D40" s="3">
        <v>741089</v>
      </c>
      <c r="E40" s="38">
        <v>177142</v>
      </c>
      <c r="F40" s="38">
        <v>16131</v>
      </c>
      <c r="G40" s="44">
        <v>157448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59" t="s">
        <v>40</v>
      </c>
      <c r="S40">
        <v>6</v>
      </c>
      <c r="T40">
        <v>12</v>
      </c>
      <c r="U40" s="3">
        <v>87120</v>
      </c>
      <c r="V40" s="3">
        <v>17</v>
      </c>
      <c r="W40" s="3">
        <v>0</v>
      </c>
      <c r="X40" s="3">
        <v>0</v>
      </c>
      <c r="Y40" s="3">
        <v>6000</v>
      </c>
      <c r="Z40" s="3" t="s">
        <v>41</v>
      </c>
      <c r="AA40" s="3" t="s">
        <v>42</v>
      </c>
      <c r="AB40" s="3" t="s">
        <v>43</v>
      </c>
      <c r="AC40" s="4" t="s">
        <v>44</v>
      </c>
      <c r="AD40" s="4" t="s">
        <v>44</v>
      </c>
      <c r="AE40" t="s">
        <v>45</v>
      </c>
      <c r="AF40" t="s">
        <v>46</v>
      </c>
    </row>
    <row r="41" spans="1:32">
      <c r="A41" s="1" t="s">
        <v>38</v>
      </c>
      <c r="B41" t="s">
        <v>84</v>
      </c>
      <c r="C41" s="3">
        <v>6095831</v>
      </c>
      <c r="D41" s="3">
        <v>741089</v>
      </c>
      <c r="E41" s="38">
        <v>177142</v>
      </c>
      <c r="F41" s="38">
        <v>16131</v>
      </c>
      <c r="G41" s="46">
        <v>157448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59" t="s">
        <v>40</v>
      </c>
      <c r="S41">
        <v>6</v>
      </c>
      <c r="T41">
        <v>12</v>
      </c>
      <c r="U41" s="3">
        <v>87120</v>
      </c>
      <c r="V41" s="3">
        <v>17</v>
      </c>
      <c r="W41" s="3">
        <v>0</v>
      </c>
      <c r="X41" s="3">
        <v>0</v>
      </c>
      <c r="Y41" s="3">
        <v>6000</v>
      </c>
      <c r="Z41" s="3" t="s">
        <v>41</v>
      </c>
      <c r="AA41" s="3" t="s">
        <v>42</v>
      </c>
      <c r="AB41" s="3" t="s">
        <v>43</v>
      </c>
      <c r="AC41" s="4" t="s">
        <v>44</v>
      </c>
      <c r="AD41" s="4" t="s">
        <v>44</v>
      </c>
      <c r="AE41" t="s">
        <v>45</v>
      </c>
      <c r="AF41" t="s">
        <v>46</v>
      </c>
    </row>
    <row r="42" spans="1:32">
      <c r="A42" s="1" t="s">
        <v>38</v>
      </c>
      <c r="B42" s="43" t="s">
        <v>85</v>
      </c>
      <c r="C42" s="44">
        <v>6057213</v>
      </c>
      <c r="D42" s="44">
        <v>702085</v>
      </c>
      <c r="E42" s="44">
        <v>167819</v>
      </c>
      <c r="F42" s="44">
        <v>15282</v>
      </c>
      <c r="G42" s="3">
        <v>149161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59" t="s">
        <v>40</v>
      </c>
      <c r="S42">
        <v>6</v>
      </c>
      <c r="T42">
        <v>12</v>
      </c>
      <c r="U42" s="3">
        <v>87120</v>
      </c>
      <c r="V42" s="3">
        <v>17</v>
      </c>
      <c r="W42" s="3">
        <v>0</v>
      </c>
      <c r="X42" s="3">
        <v>0</v>
      </c>
      <c r="Y42" s="3">
        <v>6000</v>
      </c>
      <c r="Z42" s="3" t="s">
        <v>41</v>
      </c>
      <c r="AA42" s="3" t="s">
        <v>42</v>
      </c>
      <c r="AB42" s="3" t="s">
        <v>43</v>
      </c>
      <c r="AC42" s="4" t="s">
        <v>44</v>
      </c>
      <c r="AD42" s="4" t="s">
        <v>44</v>
      </c>
      <c r="AE42" t="s">
        <v>45</v>
      </c>
      <c r="AF42" t="s">
        <v>46</v>
      </c>
    </row>
    <row r="43" spans="1:32">
      <c r="A43" s="1" t="s">
        <v>38</v>
      </c>
      <c r="B43" s="45" t="s">
        <v>86</v>
      </c>
      <c r="C43" s="46">
        <v>6095831</v>
      </c>
      <c r="D43" s="46">
        <v>741089</v>
      </c>
      <c r="E43" s="46">
        <v>177142</v>
      </c>
      <c r="F43" s="46">
        <v>16131</v>
      </c>
      <c r="G43" s="3">
        <v>157448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59" t="s">
        <v>40</v>
      </c>
      <c r="S43">
        <v>6</v>
      </c>
      <c r="T43">
        <v>12</v>
      </c>
      <c r="U43" s="3">
        <v>87120</v>
      </c>
      <c r="V43" s="3">
        <v>17</v>
      </c>
      <c r="W43" s="3">
        <v>0</v>
      </c>
      <c r="X43" s="3">
        <v>0</v>
      </c>
      <c r="Y43" s="3">
        <v>6000</v>
      </c>
      <c r="Z43" s="3" t="s">
        <v>41</v>
      </c>
      <c r="AA43" s="3" t="s">
        <v>42</v>
      </c>
      <c r="AB43" s="3" t="s">
        <v>43</v>
      </c>
      <c r="AC43" s="4" t="s">
        <v>44</v>
      </c>
      <c r="AD43" s="4" t="s">
        <v>44</v>
      </c>
      <c r="AE43" t="s">
        <v>45</v>
      </c>
      <c r="AF43" t="s">
        <v>46</v>
      </c>
    </row>
    <row r="44" spans="1:32">
      <c r="A44" s="1" t="s">
        <v>38</v>
      </c>
      <c r="B44" s="45" t="s">
        <v>87</v>
      </c>
      <c r="C44" s="46">
        <v>5915434</v>
      </c>
      <c r="D44" s="46">
        <v>558888</v>
      </c>
      <c r="E44" s="46">
        <v>169705</v>
      </c>
      <c r="F44" s="46">
        <v>15766</v>
      </c>
      <c r="G44" s="3">
        <v>150170</v>
      </c>
      <c r="H44" s="3">
        <v>21253</v>
      </c>
      <c r="I44" s="3"/>
      <c r="J44" s="3">
        <v>0</v>
      </c>
      <c r="K44" s="3"/>
      <c r="L44" s="3"/>
      <c r="M44" s="38">
        <v>1481040</v>
      </c>
      <c r="N44" s="38"/>
      <c r="O44" s="3">
        <v>778361</v>
      </c>
      <c r="P44" s="3">
        <v>55335</v>
      </c>
      <c r="Q44" s="3">
        <v>723026</v>
      </c>
      <c r="R44" s="59" t="s">
        <v>40</v>
      </c>
      <c r="S44">
        <v>6</v>
      </c>
      <c r="T44">
        <v>12</v>
      </c>
      <c r="U44" s="3">
        <v>87120</v>
      </c>
      <c r="V44" s="3">
        <v>17</v>
      </c>
      <c r="W44" s="3" t="s">
        <v>88</v>
      </c>
      <c r="X44" s="3">
        <v>0</v>
      </c>
      <c r="Y44" s="3">
        <v>6000</v>
      </c>
      <c r="Z44" s="3" t="s">
        <v>41</v>
      </c>
      <c r="AA44" s="3" t="s">
        <v>42</v>
      </c>
      <c r="AB44" s="3" t="s">
        <v>43</v>
      </c>
      <c r="AC44" s="4" t="s">
        <v>44</v>
      </c>
      <c r="AD44" s="4" t="s">
        <v>44</v>
      </c>
      <c r="AE44" t="s">
        <v>45</v>
      </c>
      <c r="AF44" t="s">
        <v>46</v>
      </c>
    </row>
    <row r="45" spans="1:32">
      <c r="A45" s="1" t="s">
        <v>38</v>
      </c>
      <c r="B45" s="45" t="s">
        <v>89</v>
      </c>
      <c r="C45" s="46">
        <v>5915434</v>
      </c>
      <c r="D45" s="46">
        <v>558888</v>
      </c>
      <c r="E45" s="46">
        <v>169705</v>
      </c>
      <c r="F45" s="46">
        <v>15766</v>
      </c>
      <c r="G45" s="3">
        <v>150170</v>
      </c>
      <c r="H45" s="3">
        <v>21253</v>
      </c>
      <c r="I45" s="3"/>
      <c r="J45" s="3">
        <v>0</v>
      </c>
      <c r="K45" s="3"/>
      <c r="L45" s="3"/>
      <c r="M45" s="38">
        <v>1481040</v>
      </c>
      <c r="N45" s="38"/>
      <c r="O45" s="3">
        <v>778361</v>
      </c>
      <c r="P45" s="3">
        <v>55335</v>
      </c>
      <c r="Q45" s="3">
        <v>723026</v>
      </c>
      <c r="R45" s="59" t="s">
        <v>40</v>
      </c>
      <c r="S45">
        <v>6</v>
      </c>
      <c r="T45">
        <v>12</v>
      </c>
      <c r="U45" s="3">
        <v>87120</v>
      </c>
      <c r="V45" s="3">
        <v>17</v>
      </c>
      <c r="W45" s="3" t="s">
        <v>88</v>
      </c>
      <c r="X45" s="3">
        <v>0</v>
      </c>
      <c r="Y45" s="3">
        <v>6000</v>
      </c>
      <c r="Z45" s="3" t="s">
        <v>41</v>
      </c>
      <c r="AA45" s="3" t="s">
        <v>42</v>
      </c>
      <c r="AB45" s="3" t="s">
        <v>43</v>
      </c>
      <c r="AC45" s="4" t="s">
        <v>44</v>
      </c>
      <c r="AD45" s="4" t="s">
        <v>44</v>
      </c>
      <c r="AE45" t="s">
        <v>45</v>
      </c>
      <c r="AF45" t="s">
        <v>46</v>
      </c>
    </row>
    <row r="46" spans="1:32">
      <c r="A46" s="1" t="s">
        <v>38</v>
      </c>
      <c r="B46" s="45" t="s">
        <v>86</v>
      </c>
      <c r="C46" s="46">
        <v>6086857</v>
      </c>
      <c r="D46" s="46">
        <v>732025</v>
      </c>
      <c r="E46" s="46">
        <v>169705</v>
      </c>
      <c r="F46" s="46">
        <v>15766</v>
      </c>
      <c r="G46" s="3">
        <v>150170</v>
      </c>
      <c r="H46" s="3">
        <v>21253</v>
      </c>
      <c r="I46" s="3"/>
      <c r="J46" s="3">
        <v>0</v>
      </c>
      <c r="K46" s="3"/>
      <c r="L46" s="3"/>
      <c r="M46" s="38">
        <v>1481040</v>
      </c>
      <c r="N46" s="38"/>
      <c r="O46" s="3">
        <v>1014068</v>
      </c>
      <c r="P46" s="3">
        <v>72477</v>
      </c>
      <c r="Q46" s="3">
        <v>941590</v>
      </c>
      <c r="R46" s="59" t="s">
        <v>40</v>
      </c>
      <c r="S46">
        <v>6</v>
      </c>
      <c r="T46">
        <v>12</v>
      </c>
      <c r="U46" s="3">
        <v>87120</v>
      </c>
      <c r="V46" s="3">
        <v>17</v>
      </c>
      <c r="W46" s="3" t="s">
        <v>88</v>
      </c>
      <c r="X46" s="3">
        <v>0</v>
      </c>
      <c r="Y46" s="3">
        <v>6000</v>
      </c>
      <c r="Z46" s="3" t="s">
        <v>41</v>
      </c>
      <c r="AA46" s="3" t="s">
        <v>42</v>
      </c>
      <c r="AB46" s="3" t="s">
        <v>43</v>
      </c>
      <c r="AC46" s="4" t="s">
        <v>44</v>
      </c>
      <c r="AD46" s="4" t="s">
        <v>44</v>
      </c>
      <c r="AE46" t="s">
        <v>45</v>
      </c>
      <c r="AF46" t="s">
        <v>46</v>
      </c>
    </row>
    <row r="47" spans="1:32">
      <c r="A47" s="1" t="s">
        <v>38</v>
      </c>
      <c r="B47" s="36" t="s">
        <v>90</v>
      </c>
      <c r="C47" s="37">
        <v>6396157</v>
      </c>
      <c r="D47" s="37">
        <v>1044418</v>
      </c>
      <c r="E47" s="37">
        <v>213553</v>
      </c>
      <c r="F47" s="37">
        <v>36289</v>
      </c>
      <c r="G47" s="3">
        <v>232315</v>
      </c>
      <c r="H47" s="3">
        <v>19900</v>
      </c>
      <c r="I47" s="3"/>
      <c r="J47" s="3"/>
      <c r="K47" s="3"/>
      <c r="L47" s="3"/>
      <c r="M47" s="38">
        <v>1481040</v>
      </c>
      <c r="N47" s="38"/>
      <c r="O47" s="3"/>
      <c r="P47" s="3"/>
      <c r="Q47" s="3"/>
      <c r="R47" s="59" t="s">
        <v>40</v>
      </c>
      <c r="S47">
        <v>6</v>
      </c>
      <c r="T47">
        <v>12</v>
      </c>
      <c r="U47" s="3">
        <v>87120</v>
      </c>
      <c r="V47" s="3">
        <v>17</v>
      </c>
      <c r="W47" s="3" t="s">
        <v>88</v>
      </c>
      <c r="X47" s="3">
        <v>0</v>
      </c>
      <c r="Y47" s="3">
        <v>6000</v>
      </c>
      <c r="Z47" s="3" t="s">
        <v>41</v>
      </c>
      <c r="AA47" s="3" t="s">
        <v>42</v>
      </c>
      <c r="AB47" s="3" t="s">
        <v>43</v>
      </c>
      <c r="AC47" s="4" t="s">
        <v>44</v>
      </c>
      <c r="AD47" s="4" t="s">
        <v>44</v>
      </c>
      <c r="AE47" t="s">
        <v>45</v>
      </c>
      <c r="AF47" t="s">
        <v>46</v>
      </c>
    </row>
    <row r="48" spans="1:32">
      <c r="A48" s="1" t="s">
        <v>38</v>
      </c>
      <c r="B48" s="36" t="s">
        <v>90</v>
      </c>
      <c r="C48" s="37">
        <v>6326515</v>
      </c>
      <c r="D48" s="37">
        <v>974079</v>
      </c>
      <c r="E48" s="37">
        <v>173065</v>
      </c>
      <c r="F48" s="37">
        <v>34895</v>
      </c>
      <c r="G48" s="3">
        <v>276045</v>
      </c>
      <c r="H48" s="3">
        <v>24500</v>
      </c>
      <c r="I48" s="3"/>
      <c r="J48" s="3"/>
      <c r="K48" s="3"/>
      <c r="L48" s="3"/>
      <c r="M48" s="38">
        <v>1481040</v>
      </c>
      <c r="N48" s="38"/>
      <c r="O48" s="3"/>
      <c r="P48" s="3"/>
      <c r="Q48" s="3"/>
      <c r="R48" s="59" t="s">
        <v>40</v>
      </c>
      <c r="S48">
        <v>6</v>
      </c>
      <c r="T48">
        <v>12</v>
      </c>
      <c r="U48" s="3">
        <v>87120</v>
      </c>
      <c r="V48" s="3">
        <v>17</v>
      </c>
      <c r="W48" s="3" t="s">
        <v>88</v>
      </c>
      <c r="X48" s="3">
        <v>0</v>
      </c>
      <c r="Y48" s="3">
        <v>6000</v>
      </c>
      <c r="Z48" s="3" t="s">
        <v>41</v>
      </c>
      <c r="AA48" s="3" t="s">
        <v>42</v>
      </c>
      <c r="AB48" s="3" t="s">
        <v>43</v>
      </c>
      <c r="AC48" s="4" t="s">
        <v>44</v>
      </c>
      <c r="AD48" s="4" t="s">
        <v>44</v>
      </c>
      <c r="AE48" t="s">
        <v>45</v>
      </c>
      <c r="AF48" t="s">
        <v>46</v>
      </c>
    </row>
    <row r="49" spans="1:46">
      <c r="A49" s="1" t="s">
        <v>38</v>
      </c>
      <c r="B49" s="36" t="s">
        <v>90</v>
      </c>
      <c r="C49" s="37">
        <v>6247535</v>
      </c>
      <c r="D49" s="37">
        <v>894309</v>
      </c>
      <c r="E49" s="37">
        <v>166752</v>
      </c>
      <c r="F49" s="37">
        <v>19673</v>
      </c>
      <c r="G49" s="3"/>
      <c r="H49" s="3"/>
      <c r="I49" s="3"/>
      <c r="J49" s="3"/>
      <c r="K49" s="3"/>
      <c r="L49" s="3"/>
      <c r="M49" s="38">
        <v>1481040</v>
      </c>
      <c r="N49" s="38"/>
      <c r="O49" s="3"/>
      <c r="P49" s="3"/>
      <c r="Q49" s="3"/>
      <c r="R49" s="59" t="s">
        <v>40</v>
      </c>
      <c r="S49">
        <v>6</v>
      </c>
      <c r="T49">
        <v>12</v>
      </c>
      <c r="U49" s="3">
        <v>87120</v>
      </c>
      <c r="V49" s="3">
        <v>17</v>
      </c>
      <c r="W49" s="3" t="s">
        <v>88</v>
      </c>
      <c r="X49" s="3">
        <v>0</v>
      </c>
      <c r="Y49" s="3">
        <v>6000</v>
      </c>
      <c r="Z49" s="3" t="s">
        <v>41</v>
      </c>
      <c r="AA49" s="3" t="s">
        <v>42</v>
      </c>
      <c r="AB49" s="3" t="s">
        <v>43</v>
      </c>
      <c r="AC49" s="4" t="s">
        <v>44</v>
      </c>
      <c r="AD49" s="4" t="s">
        <v>44</v>
      </c>
      <c r="AE49" t="s">
        <v>45</v>
      </c>
      <c r="AF49" t="s">
        <v>46</v>
      </c>
    </row>
    <row r="50" spans="1:46">
      <c r="A50" s="1" t="s">
        <v>38</v>
      </c>
      <c r="B50" s="36" t="s">
        <v>90</v>
      </c>
      <c r="C50" s="37">
        <v>6225025</v>
      </c>
      <c r="D50" s="37">
        <v>871575</v>
      </c>
      <c r="E50" s="37">
        <v>157975</v>
      </c>
      <c r="F50" s="37">
        <v>18638</v>
      </c>
      <c r="G50" s="3">
        <v>283031</v>
      </c>
      <c r="H50" s="3">
        <v>24500</v>
      </c>
      <c r="I50" s="3"/>
      <c r="J50" s="3"/>
      <c r="K50" s="3"/>
      <c r="L50" s="3"/>
      <c r="M50" s="38">
        <v>1481040</v>
      </c>
      <c r="N50" s="38"/>
      <c r="O50" s="3"/>
      <c r="P50" s="3"/>
      <c r="Q50" s="3"/>
      <c r="R50" s="59" t="s">
        <v>40</v>
      </c>
      <c r="S50">
        <v>6</v>
      </c>
      <c r="T50">
        <v>12</v>
      </c>
      <c r="U50" s="3">
        <v>87120</v>
      </c>
      <c r="V50" s="3">
        <v>17</v>
      </c>
      <c r="W50" s="3" t="s">
        <v>88</v>
      </c>
      <c r="X50" s="3">
        <v>0</v>
      </c>
      <c r="Y50" s="3">
        <v>6000</v>
      </c>
      <c r="Z50" s="3" t="s">
        <v>41</v>
      </c>
      <c r="AA50" s="3" t="s">
        <v>42</v>
      </c>
      <c r="AB50" s="3" t="s">
        <v>43</v>
      </c>
      <c r="AC50" s="4" t="s">
        <v>44</v>
      </c>
      <c r="AD50" s="4" t="s">
        <v>44</v>
      </c>
      <c r="AE50" t="s">
        <v>45</v>
      </c>
      <c r="AF50" t="s">
        <v>46</v>
      </c>
    </row>
    <row r="51" spans="1:46">
      <c r="A51" s="1" t="s">
        <v>38</v>
      </c>
      <c r="B51" s="36" t="s">
        <v>91</v>
      </c>
      <c r="C51" s="37">
        <v>6232013</v>
      </c>
      <c r="D51" s="37">
        <v>878632</v>
      </c>
      <c r="E51" s="37">
        <v>157975</v>
      </c>
      <c r="F51" s="37">
        <v>18638</v>
      </c>
      <c r="G51" s="3">
        <v>290019</v>
      </c>
      <c r="H51" s="3"/>
      <c r="I51" s="3"/>
      <c r="J51" s="3"/>
      <c r="K51" s="3"/>
      <c r="L51" s="3"/>
      <c r="M51" s="38">
        <v>1481040</v>
      </c>
      <c r="N51" s="38"/>
      <c r="O51" s="3"/>
      <c r="P51" s="3"/>
      <c r="Q51" s="3"/>
      <c r="R51" s="59" t="s">
        <v>40</v>
      </c>
      <c r="S51">
        <v>6</v>
      </c>
      <c r="T51">
        <v>12</v>
      </c>
      <c r="U51" s="3">
        <v>87120</v>
      </c>
      <c r="V51" s="3">
        <v>17</v>
      </c>
      <c r="W51" s="3" t="s">
        <v>88</v>
      </c>
      <c r="X51" s="3">
        <v>0</v>
      </c>
      <c r="Y51" s="3">
        <v>6000</v>
      </c>
      <c r="Z51" s="3" t="s">
        <v>41</v>
      </c>
      <c r="AA51" s="3" t="s">
        <v>42</v>
      </c>
      <c r="AB51" s="3" t="s">
        <v>43</v>
      </c>
      <c r="AC51" s="4" t="s">
        <v>44</v>
      </c>
      <c r="AD51" s="4" t="s">
        <v>44</v>
      </c>
      <c r="AE51" t="s">
        <v>45</v>
      </c>
      <c r="AF51" t="s">
        <v>46</v>
      </c>
    </row>
    <row r="52" spans="1:46">
      <c r="A52" s="1" t="s">
        <v>38</v>
      </c>
      <c r="B52" s="36" t="s">
        <v>92</v>
      </c>
      <c r="C52" s="37">
        <v>6039450</v>
      </c>
      <c r="D52" s="37">
        <v>684143</v>
      </c>
      <c r="E52" s="37">
        <v>152370</v>
      </c>
      <c r="F52" s="37">
        <v>14578</v>
      </c>
      <c r="G52" s="3">
        <v>178854</v>
      </c>
      <c r="H52" s="3">
        <v>229358</v>
      </c>
      <c r="I52" s="3"/>
      <c r="J52" s="59">
        <v>0</v>
      </c>
      <c r="K52" s="59">
        <v>0</v>
      </c>
      <c r="L52" s="59">
        <v>0</v>
      </c>
      <c r="M52" s="38">
        <v>1481040</v>
      </c>
      <c r="N52" s="38">
        <v>2400000</v>
      </c>
      <c r="O52" s="3">
        <v>1198405</v>
      </c>
      <c r="P52" s="3">
        <v>599202</v>
      </c>
      <c r="Q52" s="3">
        <v>599202</v>
      </c>
      <c r="R52" s="59" t="s">
        <v>40</v>
      </c>
      <c r="S52">
        <v>6</v>
      </c>
      <c r="T52">
        <v>12</v>
      </c>
      <c r="U52" s="3">
        <v>87120</v>
      </c>
      <c r="V52" s="3">
        <v>17</v>
      </c>
      <c r="W52" s="3" t="s">
        <v>88</v>
      </c>
      <c r="X52" s="3">
        <v>0</v>
      </c>
      <c r="Y52" s="3">
        <v>6000</v>
      </c>
      <c r="Z52" s="3" t="s">
        <v>41</v>
      </c>
      <c r="AA52" s="3" t="s">
        <v>42</v>
      </c>
      <c r="AB52" s="3" t="s">
        <v>43</v>
      </c>
      <c r="AC52" s="4" t="s">
        <v>44</v>
      </c>
      <c r="AD52" s="4" t="s">
        <v>44</v>
      </c>
      <c r="AE52" t="s">
        <v>45</v>
      </c>
      <c r="AF52" t="s">
        <v>46</v>
      </c>
    </row>
    <row r="53" spans="1:46">
      <c r="A53" s="1" t="s">
        <v>38</v>
      </c>
      <c r="B53" s="36" t="s">
        <v>92</v>
      </c>
      <c r="C53" s="37">
        <v>6595495</v>
      </c>
      <c r="D53" s="37">
        <v>1245750</v>
      </c>
      <c r="E53" s="37">
        <v>161081</v>
      </c>
      <c r="F53" s="37">
        <v>15566</v>
      </c>
      <c r="G53" s="3">
        <v>320341</v>
      </c>
      <c r="H53" s="3">
        <v>385442</v>
      </c>
      <c r="I53" s="3"/>
      <c r="J53" s="59">
        <v>0</v>
      </c>
      <c r="K53" s="59">
        <v>0</v>
      </c>
      <c r="L53" s="59">
        <v>0</v>
      </c>
      <c r="M53" s="42">
        <v>1481040</v>
      </c>
      <c r="N53" s="38"/>
      <c r="O53" s="3">
        <v>1233415</v>
      </c>
      <c r="P53" s="3">
        <v>616707</v>
      </c>
      <c r="Q53" s="3">
        <v>616707</v>
      </c>
      <c r="R53" s="59" t="s">
        <v>40</v>
      </c>
      <c r="S53" s="36">
        <v>6</v>
      </c>
      <c r="T53" s="36">
        <v>12</v>
      </c>
      <c r="U53" s="37">
        <v>87120</v>
      </c>
      <c r="V53" s="3">
        <v>17</v>
      </c>
      <c r="W53" s="3" t="s">
        <v>88</v>
      </c>
      <c r="X53" s="3">
        <v>0</v>
      </c>
      <c r="Y53" s="3">
        <v>6000</v>
      </c>
      <c r="Z53" s="3" t="s">
        <v>41</v>
      </c>
      <c r="AA53" s="3" t="s">
        <v>42</v>
      </c>
      <c r="AB53" s="3" t="s">
        <v>43</v>
      </c>
      <c r="AC53" s="4" t="s">
        <v>44</v>
      </c>
      <c r="AD53" s="4" t="s">
        <v>44</v>
      </c>
      <c r="AE53" t="s">
        <v>45</v>
      </c>
      <c r="AF53" t="s">
        <v>46</v>
      </c>
    </row>
    <row r="54" spans="1:46">
      <c r="A54" s="1" t="s">
        <v>38</v>
      </c>
      <c r="B54" s="36" t="s">
        <v>93</v>
      </c>
      <c r="C54" s="37">
        <v>6017336</v>
      </c>
      <c r="D54" s="37">
        <v>661808</v>
      </c>
      <c r="E54" s="37">
        <v>156842</v>
      </c>
      <c r="F54" s="37">
        <v>15157</v>
      </c>
      <c r="G54" s="3">
        <v>130522</v>
      </c>
      <c r="H54" s="3">
        <v>10984</v>
      </c>
      <c r="I54" s="3"/>
      <c r="J54" s="59">
        <v>0</v>
      </c>
      <c r="K54" s="59">
        <v>0</v>
      </c>
      <c r="L54" s="59">
        <v>0</v>
      </c>
      <c r="M54" s="42">
        <v>1481040</v>
      </c>
      <c r="N54" s="38"/>
      <c r="O54" s="3"/>
      <c r="P54" s="3"/>
      <c r="Q54" s="3"/>
      <c r="R54" s="59" t="s">
        <v>40</v>
      </c>
      <c r="S54" s="36">
        <v>6</v>
      </c>
      <c r="T54" s="36">
        <v>12</v>
      </c>
      <c r="U54" s="37">
        <v>87120</v>
      </c>
      <c r="V54" s="3">
        <v>17</v>
      </c>
      <c r="W54" s="3" t="s">
        <v>88</v>
      </c>
      <c r="X54" s="3">
        <v>0</v>
      </c>
      <c r="Y54" s="3">
        <v>6000</v>
      </c>
      <c r="Z54" s="3" t="s">
        <v>41</v>
      </c>
      <c r="AA54" s="3" t="s">
        <v>42</v>
      </c>
      <c r="AB54" s="3" t="s">
        <v>43</v>
      </c>
      <c r="AC54" s="4" t="s">
        <v>44</v>
      </c>
      <c r="AD54" s="4" t="s">
        <v>44</v>
      </c>
      <c r="AE54" t="s">
        <v>45</v>
      </c>
      <c r="AF54" t="s">
        <v>46</v>
      </c>
    </row>
    <row r="55" spans="1:46">
      <c r="A55" s="1" t="s">
        <v>38</v>
      </c>
      <c r="B55" s="36" t="s">
        <v>94</v>
      </c>
      <c r="C55" s="3">
        <v>6038340</v>
      </c>
      <c r="D55" s="3">
        <v>683023</v>
      </c>
      <c r="E55" s="3">
        <v>161081</v>
      </c>
      <c r="F55" s="3">
        <v>15566</v>
      </c>
      <c r="G55" s="3">
        <v>130522</v>
      </c>
      <c r="H55" s="3">
        <v>18106</v>
      </c>
      <c r="I55" s="3"/>
      <c r="J55" s="59">
        <v>0</v>
      </c>
      <c r="K55" s="59">
        <v>0</v>
      </c>
      <c r="L55" s="59">
        <v>0</v>
      </c>
      <c r="M55" s="38">
        <v>1481040</v>
      </c>
      <c r="N55" s="3"/>
      <c r="O55" s="3"/>
      <c r="P55" s="3"/>
      <c r="Q55" s="3"/>
      <c r="R55" s="59" t="s">
        <v>40</v>
      </c>
      <c r="S55" s="36">
        <v>6</v>
      </c>
      <c r="T55" s="36">
        <v>12</v>
      </c>
      <c r="U55" s="37">
        <v>87120</v>
      </c>
      <c r="V55" s="3">
        <v>17</v>
      </c>
      <c r="W55" s="3" t="s">
        <v>88</v>
      </c>
      <c r="X55" s="3">
        <v>0</v>
      </c>
      <c r="Y55" s="3">
        <v>6000</v>
      </c>
      <c r="Z55" s="3" t="s">
        <v>41</v>
      </c>
      <c r="AA55" s="3" t="s">
        <v>42</v>
      </c>
      <c r="AB55" s="3" t="s">
        <v>43</v>
      </c>
      <c r="AC55" s="4" t="s">
        <v>44</v>
      </c>
      <c r="AD55" s="4" t="s">
        <v>44</v>
      </c>
      <c r="AE55" t="s">
        <v>45</v>
      </c>
      <c r="AF55" t="s">
        <v>46</v>
      </c>
    </row>
    <row r="56" spans="1:46">
      <c r="A56" s="1" t="s">
        <v>38</v>
      </c>
      <c r="B56" s="36" t="s">
        <v>95</v>
      </c>
      <c r="C56" s="3">
        <v>6037321</v>
      </c>
      <c r="D56" s="3">
        <v>681994</v>
      </c>
      <c r="E56" s="3">
        <v>161081</v>
      </c>
      <c r="F56" s="3">
        <v>15566</v>
      </c>
      <c r="G56" s="3">
        <v>129758</v>
      </c>
      <c r="H56" s="3">
        <v>17851</v>
      </c>
      <c r="I56" s="3"/>
      <c r="J56" s="59">
        <v>0</v>
      </c>
      <c r="K56" s="59">
        <v>0</v>
      </c>
      <c r="L56" s="59">
        <v>0</v>
      </c>
      <c r="M56" s="38">
        <v>1481040</v>
      </c>
      <c r="N56" s="3"/>
      <c r="O56" s="3">
        <v>675241</v>
      </c>
      <c r="P56" s="3">
        <v>337620</v>
      </c>
      <c r="Q56" s="3">
        <v>337620</v>
      </c>
      <c r="R56" s="59" t="s">
        <v>40</v>
      </c>
      <c r="S56" s="36">
        <v>6</v>
      </c>
      <c r="T56" s="36">
        <v>12</v>
      </c>
      <c r="U56" s="37">
        <v>87120</v>
      </c>
      <c r="V56" s="3">
        <v>17</v>
      </c>
      <c r="W56" s="3" t="s">
        <v>88</v>
      </c>
      <c r="X56" s="3">
        <v>0</v>
      </c>
      <c r="Y56" s="3">
        <v>6000</v>
      </c>
      <c r="Z56" s="3" t="s">
        <v>41</v>
      </c>
      <c r="AA56" s="3" t="s">
        <v>42</v>
      </c>
      <c r="AB56" s="3" t="s">
        <v>43</v>
      </c>
      <c r="AC56" s="4" t="s">
        <v>44</v>
      </c>
      <c r="AD56" s="4" t="s">
        <v>44</v>
      </c>
      <c r="AE56" t="s">
        <v>45</v>
      </c>
      <c r="AF56" t="s">
        <v>46</v>
      </c>
    </row>
    <row r="57" spans="1:46">
      <c r="A57" s="1" t="s">
        <v>38</v>
      </c>
      <c r="B57" s="36" t="s">
        <v>96</v>
      </c>
      <c r="C57" s="3">
        <v>6311218</v>
      </c>
      <c r="D57" s="3">
        <v>675830</v>
      </c>
      <c r="E57" s="3">
        <v>161081</v>
      </c>
      <c r="F57" s="3">
        <v>15566</v>
      </c>
      <c r="G57" s="3">
        <v>130522</v>
      </c>
      <c r="I57" s="3">
        <v>10984</v>
      </c>
      <c r="J57" s="59">
        <v>0</v>
      </c>
      <c r="K57" s="59">
        <v>0</v>
      </c>
      <c r="L57" s="59">
        <v>0</v>
      </c>
      <c r="M57" s="38">
        <v>1481040</v>
      </c>
      <c r="N57" s="3">
        <v>2680000</v>
      </c>
      <c r="O57" s="3">
        <v>669138</v>
      </c>
      <c r="P57" s="3">
        <v>340268</v>
      </c>
      <c r="Q57" s="3">
        <v>328870</v>
      </c>
      <c r="R57" s="59" t="s">
        <v>40</v>
      </c>
      <c r="S57" s="36">
        <v>6</v>
      </c>
      <c r="T57" s="36">
        <v>12</v>
      </c>
      <c r="U57" s="37">
        <v>87120</v>
      </c>
      <c r="V57" s="3">
        <v>17</v>
      </c>
      <c r="W57" s="3" t="s">
        <v>88</v>
      </c>
      <c r="X57" s="3">
        <v>0</v>
      </c>
      <c r="Y57" s="3">
        <v>6000</v>
      </c>
      <c r="Z57" s="3" t="s">
        <v>41</v>
      </c>
      <c r="AA57" s="3" t="s">
        <v>42</v>
      </c>
      <c r="AB57" s="3" t="s">
        <v>43</v>
      </c>
      <c r="AC57" s="4" t="s">
        <v>44</v>
      </c>
      <c r="AD57" s="4" t="s">
        <v>44</v>
      </c>
      <c r="AE57" t="s">
        <v>45</v>
      </c>
      <c r="AF57" t="s">
        <v>46</v>
      </c>
      <c r="AG57" s="36"/>
      <c r="AH57" s="37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>
      <c r="A58" s="1" t="s">
        <v>38</v>
      </c>
      <c r="B58" s="36" t="s">
        <v>97</v>
      </c>
      <c r="C58" s="3">
        <v>6417178</v>
      </c>
      <c r="D58" s="3">
        <v>661649</v>
      </c>
      <c r="E58" s="3">
        <v>157147</v>
      </c>
      <c r="F58" s="3">
        <v>14740</v>
      </c>
      <c r="G58" s="3">
        <v>130918</v>
      </c>
      <c r="I58" s="3">
        <v>11213</v>
      </c>
      <c r="J58" s="59">
        <v>0</v>
      </c>
      <c r="K58" s="59">
        <v>0</v>
      </c>
      <c r="L58" s="59">
        <v>0</v>
      </c>
      <c r="M58" s="38">
        <v>1481040</v>
      </c>
      <c r="N58" s="3">
        <v>2800000</v>
      </c>
      <c r="O58" s="3">
        <v>655098</v>
      </c>
      <c r="P58" s="3">
        <v>540021</v>
      </c>
      <c r="Q58" s="3">
        <v>115076</v>
      </c>
      <c r="R58" s="59" t="s">
        <v>40</v>
      </c>
      <c r="S58" s="36">
        <v>6</v>
      </c>
      <c r="T58" s="36">
        <v>12</v>
      </c>
      <c r="U58" s="37">
        <v>87120</v>
      </c>
      <c r="V58" s="36">
        <v>17</v>
      </c>
      <c r="W58" s="3" t="s">
        <v>88</v>
      </c>
      <c r="X58" s="3">
        <v>0</v>
      </c>
      <c r="Y58" s="3">
        <v>6000</v>
      </c>
      <c r="Z58" s="3" t="s">
        <v>41</v>
      </c>
      <c r="AA58" s="3" t="s">
        <v>42</v>
      </c>
      <c r="AB58" s="3" t="s">
        <v>43</v>
      </c>
      <c r="AC58" s="4" t="s">
        <v>44</v>
      </c>
      <c r="AD58" s="4" t="s">
        <v>44</v>
      </c>
      <c r="AE58" t="s">
        <v>45</v>
      </c>
      <c r="AF58" t="s">
        <v>46</v>
      </c>
    </row>
    <row r="59" spans="1:46">
      <c r="A59" s="1" t="s">
        <v>38</v>
      </c>
      <c r="B59" s="36" t="s">
        <v>98</v>
      </c>
      <c r="C59" s="3">
        <v>5216220</v>
      </c>
      <c r="D59" s="3">
        <v>675831</v>
      </c>
      <c r="E59" s="3">
        <v>159330</v>
      </c>
      <c r="F59" s="3">
        <v>14778</v>
      </c>
      <c r="G59" s="3">
        <v>138264</v>
      </c>
      <c r="I59" s="3">
        <v>11447</v>
      </c>
      <c r="J59" s="59">
        <v>0</v>
      </c>
      <c r="K59" s="59">
        <v>0</v>
      </c>
      <c r="L59" s="59">
        <v>0</v>
      </c>
      <c r="M59" s="38">
        <v>1481040</v>
      </c>
      <c r="N59" s="3">
        <v>1585500</v>
      </c>
      <c r="O59" s="3">
        <v>669138</v>
      </c>
      <c r="P59" s="3">
        <v>546397</v>
      </c>
      <c r="Q59" s="3">
        <v>122722</v>
      </c>
      <c r="R59" s="59" t="s">
        <v>40</v>
      </c>
      <c r="S59" s="36">
        <v>6</v>
      </c>
      <c r="T59" s="36">
        <v>12</v>
      </c>
      <c r="U59" s="37">
        <v>87120</v>
      </c>
      <c r="V59" s="36">
        <v>17</v>
      </c>
      <c r="W59" s="3" t="s">
        <v>88</v>
      </c>
      <c r="X59" s="3">
        <v>0</v>
      </c>
      <c r="Y59" s="3">
        <v>6000</v>
      </c>
      <c r="Z59" s="3" t="s">
        <v>41</v>
      </c>
      <c r="AA59" s="3" t="s">
        <v>42</v>
      </c>
      <c r="AB59" s="3" t="s">
        <v>43</v>
      </c>
      <c r="AC59" s="4" t="s">
        <v>44</v>
      </c>
      <c r="AD59" s="4" t="s">
        <v>44</v>
      </c>
      <c r="AE59" t="s">
        <v>45</v>
      </c>
      <c r="AF59" t="s">
        <v>46</v>
      </c>
    </row>
    <row r="60" spans="1:46">
      <c r="A60" s="1" t="s">
        <v>38</v>
      </c>
      <c r="B60" s="36" t="s">
        <v>98</v>
      </c>
      <c r="C60" s="3">
        <v>5228120</v>
      </c>
      <c r="D60" s="3">
        <v>687860</v>
      </c>
      <c r="E60" s="3">
        <v>163636</v>
      </c>
      <c r="F60" s="3">
        <v>15177</v>
      </c>
      <c r="G60" s="3">
        <v>136405</v>
      </c>
      <c r="I60" s="3">
        <v>11179</v>
      </c>
      <c r="J60" s="3">
        <v>0</v>
      </c>
      <c r="K60" s="3">
        <v>0</v>
      </c>
      <c r="L60" s="3">
        <v>0</v>
      </c>
      <c r="M60" s="38">
        <v>1481040</v>
      </c>
      <c r="N60" s="3">
        <v>1585000</v>
      </c>
      <c r="O60" s="3">
        <v>681049</v>
      </c>
      <c r="P60" s="3">
        <v>558586</v>
      </c>
      <c r="Q60" s="3">
        <v>122463</v>
      </c>
      <c r="R60" s="59" t="s">
        <v>40</v>
      </c>
      <c r="S60" s="36">
        <v>6</v>
      </c>
      <c r="T60" s="36">
        <v>12</v>
      </c>
      <c r="U60" s="37">
        <v>87120</v>
      </c>
      <c r="V60" s="36">
        <v>17</v>
      </c>
      <c r="W60" s="3" t="s">
        <v>88</v>
      </c>
      <c r="X60" s="3">
        <v>0</v>
      </c>
      <c r="Y60" s="3">
        <v>6000</v>
      </c>
      <c r="Z60" s="3" t="s">
        <v>41</v>
      </c>
      <c r="AA60" s="3" t="s">
        <v>42</v>
      </c>
      <c r="AB60" s="3" t="s">
        <v>43</v>
      </c>
      <c r="AC60" s="4" t="s">
        <v>44</v>
      </c>
      <c r="AD60" s="4" t="s">
        <v>44</v>
      </c>
      <c r="AE60" t="s">
        <v>45</v>
      </c>
      <c r="AF60" t="s">
        <v>46</v>
      </c>
    </row>
    <row r="61" spans="1:46">
      <c r="A61" s="1" t="s">
        <v>38</v>
      </c>
      <c r="B61" s="36" t="s">
        <v>98</v>
      </c>
      <c r="C61" s="3">
        <v>5230256</v>
      </c>
      <c r="D61" s="3">
        <v>690008</v>
      </c>
      <c r="E61" s="3">
        <v>163636</v>
      </c>
      <c r="F61" s="3">
        <v>15177</v>
      </c>
      <c r="G61" s="3">
        <v>138264</v>
      </c>
      <c r="I61" s="3">
        <v>11447</v>
      </c>
      <c r="J61" s="3">
        <v>0</v>
      </c>
      <c r="K61" s="3">
        <v>0</v>
      </c>
      <c r="L61" s="3">
        <v>0</v>
      </c>
      <c r="M61" s="38">
        <v>1481040</v>
      </c>
      <c r="N61" s="3">
        <v>1585000</v>
      </c>
      <c r="O61" s="3">
        <v>681049</v>
      </c>
      <c r="P61" s="3">
        <v>558586</v>
      </c>
      <c r="Q61" s="3">
        <v>122463</v>
      </c>
      <c r="R61" s="59" t="s">
        <v>40</v>
      </c>
      <c r="S61" s="36">
        <v>6</v>
      </c>
      <c r="T61" s="36">
        <v>12</v>
      </c>
      <c r="U61" s="37">
        <v>87120</v>
      </c>
      <c r="V61" s="36">
        <v>17</v>
      </c>
      <c r="W61" s="3" t="s">
        <v>88</v>
      </c>
      <c r="X61" s="3">
        <v>0</v>
      </c>
      <c r="Y61" s="3">
        <v>6000</v>
      </c>
      <c r="Z61" s="3" t="s">
        <v>41</v>
      </c>
      <c r="AA61" s="3" t="s">
        <v>42</v>
      </c>
      <c r="AB61" s="3" t="s">
        <v>43</v>
      </c>
      <c r="AC61" s="4" t="s">
        <v>44</v>
      </c>
      <c r="AD61" s="4" t="s">
        <v>44</v>
      </c>
      <c r="AE61" t="s">
        <v>45</v>
      </c>
      <c r="AF61" t="s">
        <v>46</v>
      </c>
    </row>
    <row r="62" spans="1:46">
      <c r="A62" s="1" t="s">
        <v>38</v>
      </c>
      <c r="B62" s="36" t="s">
        <v>99</v>
      </c>
      <c r="C62" s="3">
        <v>4067559</v>
      </c>
      <c r="D62" s="3">
        <v>606484</v>
      </c>
      <c r="E62" s="3">
        <v>164129</v>
      </c>
      <c r="F62" s="3">
        <v>15534</v>
      </c>
      <c r="G62" s="3">
        <v>52218</v>
      </c>
      <c r="I62" s="3">
        <v>11947</v>
      </c>
      <c r="J62" s="3">
        <v>0</v>
      </c>
      <c r="K62" s="3">
        <v>0</v>
      </c>
      <c r="L62" s="3">
        <v>0</v>
      </c>
      <c r="M62" s="38">
        <v>1481040</v>
      </c>
      <c r="N62" s="3">
        <v>505000</v>
      </c>
      <c r="O62" s="3">
        <v>600479</v>
      </c>
      <c r="P62" s="3">
        <v>504717</v>
      </c>
      <c r="Q62" s="3">
        <v>95761</v>
      </c>
      <c r="R62" s="3" t="s">
        <v>40</v>
      </c>
      <c r="S62" s="36">
        <v>6</v>
      </c>
      <c r="T62" s="36">
        <v>12</v>
      </c>
      <c r="U62" s="37">
        <v>87120</v>
      </c>
      <c r="V62" s="36">
        <v>17</v>
      </c>
      <c r="W62" s="3" t="s">
        <v>88</v>
      </c>
      <c r="X62" s="3">
        <v>0</v>
      </c>
      <c r="Y62" s="3">
        <v>6000</v>
      </c>
      <c r="Z62" s="3" t="s">
        <v>41</v>
      </c>
      <c r="AA62" s="3" t="s">
        <v>42</v>
      </c>
      <c r="AB62" s="3" t="s">
        <v>43</v>
      </c>
      <c r="AC62" s="4" t="s">
        <v>44</v>
      </c>
      <c r="AD62" s="4" t="s">
        <v>44</v>
      </c>
      <c r="AE62" t="s">
        <v>45</v>
      </c>
      <c r="AF62" t="s">
        <v>46</v>
      </c>
    </row>
    <row r="63" spans="1:46">
      <c r="A63" s="1" t="s">
        <v>38</v>
      </c>
      <c r="B63" s="60" t="s">
        <v>100</v>
      </c>
      <c r="C63" s="3">
        <v>5230256</v>
      </c>
      <c r="D63" s="3">
        <v>690008</v>
      </c>
      <c r="E63" s="3">
        <v>163636</v>
      </c>
      <c r="F63" s="3">
        <v>15177</v>
      </c>
      <c r="G63" s="3">
        <v>138264</v>
      </c>
      <c r="I63" s="3">
        <v>11447</v>
      </c>
      <c r="J63" s="3">
        <v>0</v>
      </c>
      <c r="K63" s="3">
        <v>0</v>
      </c>
      <c r="L63" s="3">
        <v>0</v>
      </c>
      <c r="M63" s="38">
        <v>1481040</v>
      </c>
      <c r="N63" s="3">
        <v>1585000</v>
      </c>
      <c r="O63" s="3">
        <v>683175</v>
      </c>
      <c r="P63" s="3">
        <v>558734</v>
      </c>
      <c r="Q63" s="3">
        <v>124441</v>
      </c>
      <c r="R63" s="3" t="s">
        <v>40</v>
      </c>
      <c r="S63">
        <v>6</v>
      </c>
      <c r="T63" s="36">
        <v>12</v>
      </c>
      <c r="U63" s="37">
        <v>87120</v>
      </c>
      <c r="V63" s="3">
        <v>17</v>
      </c>
      <c r="W63" s="3" t="s">
        <v>88</v>
      </c>
      <c r="X63" s="3">
        <v>0</v>
      </c>
      <c r="Y63" s="3">
        <v>6000</v>
      </c>
      <c r="Z63" s="3" t="s">
        <v>41</v>
      </c>
      <c r="AA63" s="3" t="s">
        <v>101</v>
      </c>
      <c r="AB63" s="3" t="s">
        <v>43</v>
      </c>
      <c r="AC63" s="4" t="s">
        <v>44</v>
      </c>
      <c r="AD63" s="4" t="s">
        <v>44</v>
      </c>
      <c r="AE63" t="s">
        <v>45</v>
      </c>
      <c r="AF63" t="s">
        <v>46</v>
      </c>
    </row>
    <row r="64" spans="1:46">
      <c r="A64" s="1" t="s">
        <v>38</v>
      </c>
      <c r="B64" s="25" t="s">
        <v>102</v>
      </c>
      <c r="C64" s="3">
        <v>6151970</v>
      </c>
      <c r="D64" s="3">
        <v>727089</v>
      </c>
      <c r="E64" s="3">
        <v>175385</v>
      </c>
      <c r="F64" s="3">
        <v>14400</v>
      </c>
      <c r="G64" s="3">
        <v>143518</v>
      </c>
      <c r="I64" s="3">
        <v>12052</v>
      </c>
      <c r="J64" s="3">
        <v>0</v>
      </c>
      <c r="K64" s="3">
        <v>0</v>
      </c>
      <c r="L64" s="3">
        <v>0</v>
      </c>
      <c r="M64" s="38">
        <v>1481040</v>
      </c>
      <c r="N64" s="3">
        <v>2910257</v>
      </c>
      <c r="O64" s="3">
        <v>719889</v>
      </c>
      <c r="P64" s="3">
        <v>587003</v>
      </c>
      <c r="Q64" s="3">
        <v>132886</v>
      </c>
      <c r="R64" s="3" t="s">
        <v>40</v>
      </c>
      <c r="S64">
        <v>6</v>
      </c>
      <c r="T64" s="36">
        <v>12</v>
      </c>
      <c r="U64" s="37">
        <v>87120</v>
      </c>
      <c r="V64" s="3">
        <v>17</v>
      </c>
      <c r="W64" s="3" t="s">
        <v>88</v>
      </c>
      <c r="X64" s="3">
        <v>0</v>
      </c>
      <c r="Y64" s="3">
        <v>6000</v>
      </c>
      <c r="Z64" s="3" t="s">
        <v>41</v>
      </c>
      <c r="AA64" s="3" t="s">
        <v>101</v>
      </c>
      <c r="AB64" s="3" t="s">
        <v>43</v>
      </c>
      <c r="AC64" s="4" t="s">
        <v>44</v>
      </c>
      <c r="AD64" s="4" t="s">
        <v>44</v>
      </c>
      <c r="AE64" t="s">
        <v>45</v>
      </c>
      <c r="AF64" t="s">
        <v>46</v>
      </c>
    </row>
    <row r="65" spans="1:37">
      <c r="A65" s="1" t="s">
        <v>38</v>
      </c>
      <c r="B65" s="25" t="s">
        <v>103</v>
      </c>
      <c r="C65" s="3">
        <v>6094413</v>
      </c>
      <c r="D65" s="3">
        <v>668957</v>
      </c>
      <c r="E65" s="3">
        <v>233529</v>
      </c>
      <c r="F65" s="3">
        <v>21637</v>
      </c>
      <c r="G65" s="3">
        <v>137347</v>
      </c>
      <c r="I65" s="3">
        <v>11211</v>
      </c>
      <c r="J65" s="3">
        <v>0</v>
      </c>
      <c r="K65" s="3">
        <v>0</v>
      </c>
      <c r="L65" s="3">
        <v>0</v>
      </c>
      <c r="M65" s="3">
        <v>1481040</v>
      </c>
      <c r="N65" s="3">
        <v>2909718</v>
      </c>
      <c r="O65" s="3">
        <v>662333</v>
      </c>
      <c r="P65" s="3">
        <v>536381</v>
      </c>
      <c r="Q65" s="3">
        <v>125951</v>
      </c>
      <c r="R65" s="3" t="s">
        <v>40</v>
      </c>
      <c r="S65">
        <v>6</v>
      </c>
      <c r="T65" s="36">
        <v>12</v>
      </c>
      <c r="U65" s="37">
        <v>87120</v>
      </c>
      <c r="V65" s="3">
        <v>17</v>
      </c>
      <c r="W65" s="3" t="s">
        <v>88</v>
      </c>
      <c r="X65" s="3">
        <v>0</v>
      </c>
      <c r="Y65" s="3">
        <v>6000</v>
      </c>
      <c r="Z65" s="3" t="s">
        <v>41</v>
      </c>
      <c r="AA65" s="3" t="s">
        <v>101</v>
      </c>
      <c r="AB65" s="3" t="s">
        <v>43</v>
      </c>
      <c r="AC65" s="4" t="s">
        <v>44</v>
      </c>
      <c r="AD65" s="4" t="s">
        <v>44</v>
      </c>
      <c r="AE65" t="s">
        <v>45</v>
      </c>
      <c r="AF65" t="s">
        <v>46</v>
      </c>
    </row>
    <row r="66" spans="1:37">
      <c r="A66" s="1" t="s">
        <v>38</v>
      </c>
      <c r="B66" s="25" t="s">
        <v>104</v>
      </c>
      <c r="C66" s="3">
        <v>4411572</v>
      </c>
      <c r="D66" s="3">
        <v>465138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>
        <v>6</v>
      </c>
      <c r="T66" s="36">
        <v>12</v>
      </c>
      <c r="U66" s="37">
        <v>87120</v>
      </c>
      <c r="V66" s="3">
        <v>17</v>
      </c>
      <c r="W66" s="3" t="s">
        <v>88</v>
      </c>
      <c r="X66" s="3">
        <v>0</v>
      </c>
      <c r="Y66" s="3">
        <v>6000</v>
      </c>
      <c r="Z66" s="3" t="s">
        <v>41</v>
      </c>
      <c r="AA66" s="3" t="s">
        <v>105</v>
      </c>
      <c r="AB66" s="3" t="s">
        <v>43</v>
      </c>
      <c r="AC66" s="4" t="s">
        <v>44</v>
      </c>
      <c r="AD66" s="4" t="s">
        <v>44</v>
      </c>
      <c r="AE66" t="s">
        <v>45</v>
      </c>
      <c r="AF66" t="s">
        <v>46</v>
      </c>
    </row>
    <row r="67" spans="1:37">
      <c r="A67" s="1" t="s">
        <v>38</v>
      </c>
      <c r="B67" s="25" t="s">
        <v>106</v>
      </c>
      <c r="C67" s="3">
        <v>3571713</v>
      </c>
      <c r="D67" s="3">
        <v>369464</v>
      </c>
      <c r="E67" s="3">
        <v>77918</v>
      </c>
      <c r="F67" s="3">
        <v>9829</v>
      </c>
      <c r="G67" s="3">
        <v>100000</v>
      </c>
      <c r="H67" s="3"/>
      <c r="I67" s="3">
        <v>5115</v>
      </c>
      <c r="J67" s="3">
        <v>0</v>
      </c>
      <c r="K67" s="3">
        <v>0</v>
      </c>
      <c r="L67" s="3">
        <v>0</v>
      </c>
      <c r="M67" s="3">
        <v>1481040</v>
      </c>
      <c r="N67" s="3">
        <v>2297863</v>
      </c>
      <c r="O67" s="3">
        <v>214906</v>
      </c>
      <c r="P67" s="3">
        <v>202572</v>
      </c>
      <c r="Q67" s="3">
        <v>12334</v>
      </c>
      <c r="R67" s="3" t="s">
        <v>40</v>
      </c>
      <c r="S67">
        <v>6</v>
      </c>
      <c r="T67" s="36">
        <v>12</v>
      </c>
      <c r="U67" s="37">
        <v>87120</v>
      </c>
      <c r="V67" s="3">
        <v>17</v>
      </c>
      <c r="W67" s="3" t="s">
        <v>88</v>
      </c>
      <c r="X67" s="3">
        <v>0</v>
      </c>
      <c r="Y67" s="3">
        <v>6000</v>
      </c>
      <c r="Z67" s="3" t="s">
        <v>41</v>
      </c>
      <c r="AA67" s="3" t="s">
        <v>107</v>
      </c>
      <c r="AB67" s="3" t="s">
        <v>108</v>
      </c>
      <c r="AC67" s="4" t="s">
        <v>109</v>
      </c>
      <c r="AD67" s="4" t="s">
        <v>109</v>
      </c>
      <c r="AE67" t="s">
        <v>45</v>
      </c>
      <c r="AF67" t="s">
        <v>46</v>
      </c>
    </row>
    <row r="68" spans="1:37" ht="30.75">
      <c r="A68" t="s">
        <v>38</v>
      </c>
      <c r="B68" s="25" t="s">
        <v>110</v>
      </c>
      <c r="C68" s="3">
        <v>4151152</v>
      </c>
      <c r="D68" s="3">
        <v>416199</v>
      </c>
      <c r="E68" s="3">
        <v>77918</v>
      </c>
      <c r="F68" s="3">
        <v>9829</v>
      </c>
      <c r="G68" s="3">
        <v>144927</v>
      </c>
      <c r="H68" s="3">
        <v>0</v>
      </c>
      <c r="I68" s="3">
        <v>6872</v>
      </c>
      <c r="J68" s="3">
        <v>0</v>
      </c>
      <c r="K68" s="3">
        <v>0</v>
      </c>
      <c r="L68" s="3">
        <v>0</v>
      </c>
      <c r="M68" s="3">
        <v>1481040</v>
      </c>
      <c r="N68" s="3">
        <v>2410228</v>
      </c>
      <c r="O68" s="3">
        <v>259884</v>
      </c>
      <c r="P68" s="3">
        <v>203997</v>
      </c>
      <c r="Q68" s="3">
        <v>55886</v>
      </c>
      <c r="R68" s="3" t="s">
        <v>40</v>
      </c>
      <c r="S68">
        <v>6</v>
      </c>
      <c r="T68" s="36">
        <v>12</v>
      </c>
      <c r="U68" s="37">
        <v>87120</v>
      </c>
      <c r="V68" s="3">
        <v>17</v>
      </c>
      <c r="W68" s="3" t="s">
        <v>88</v>
      </c>
      <c r="X68" s="3">
        <v>0</v>
      </c>
      <c r="Y68" s="3">
        <v>6000</v>
      </c>
      <c r="Z68" s="3" t="s">
        <v>41</v>
      </c>
      <c r="AA68" s="3" t="s">
        <v>107</v>
      </c>
      <c r="AB68" s="3" t="s">
        <v>108</v>
      </c>
      <c r="AC68" s="4" t="s">
        <v>109</v>
      </c>
      <c r="AD68" s="4" t="s">
        <v>109</v>
      </c>
      <c r="AE68" s="83" t="s">
        <v>45</v>
      </c>
      <c r="AF68" s="84" t="s">
        <v>46</v>
      </c>
    </row>
    <row r="69" spans="1:37">
      <c r="A69" t="s">
        <v>111</v>
      </c>
      <c r="B69" s="25"/>
      <c r="C69" s="3"/>
      <c r="D69" s="3"/>
      <c r="E69" s="3">
        <v>80000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6"/>
      <c r="U69" s="37"/>
      <c r="V69" s="3"/>
      <c r="W69" s="3"/>
      <c r="X69" s="3"/>
      <c r="Y69" s="3"/>
      <c r="Z69" s="3"/>
      <c r="AA69" s="3"/>
      <c r="AB69" s="3"/>
      <c r="AC69" s="4"/>
      <c r="AD69" s="4"/>
      <c r="AE69" s="83"/>
      <c r="AF69" s="84"/>
    </row>
    <row r="70" spans="1:37" s="51" customFormat="1" ht="15.95">
      <c r="A70" s="50" t="s">
        <v>112</v>
      </c>
      <c r="B70" s="50" t="s">
        <v>113</v>
      </c>
      <c r="E70" s="51">
        <v>213130</v>
      </c>
      <c r="F70" s="51">
        <v>11402</v>
      </c>
      <c r="G70" s="34">
        <v>144998</v>
      </c>
      <c r="H70" s="51">
        <v>0</v>
      </c>
      <c r="U70" s="34"/>
      <c r="V70" s="34"/>
      <c r="Z70" s="34"/>
      <c r="AC70" s="34"/>
      <c r="AD70" s="34"/>
      <c r="AE70" s="51" t="s">
        <v>45</v>
      </c>
      <c r="AF70" s="56" t="s">
        <v>46</v>
      </c>
    </row>
    <row r="71" spans="1:37" s="8" customFormat="1"/>
    <row r="72" spans="1:37">
      <c r="A72" s="1" t="s">
        <v>114</v>
      </c>
      <c r="B72" t="s">
        <v>39</v>
      </c>
      <c r="C72" s="3">
        <v>1374401</v>
      </c>
      <c r="D72" s="3">
        <v>610425</v>
      </c>
      <c r="E72" s="3">
        <v>112100</v>
      </c>
      <c r="F72" s="3">
        <v>16815</v>
      </c>
      <c r="G72" s="3">
        <v>212330</v>
      </c>
      <c r="H72" s="3">
        <v>0</v>
      </c>
      <c r="I72" s="3"/>
      <c r="J72" s="3">
        <v>0</v>
      </c>
      <c r="K72" s="3"/>
      <c r="L72" s="3"/>
      <c r="M72" s="3">
        <v>0</v>
      </c>
      <c r="N72" s="3"/>
      <c r="O72">
        <v>604380</v>
      </c>
      <c r="P72">
        <v>60438</v>
      </c>
      <c r="Q72">
        <v>770019</v>
      </c>
      <c r="R72" s="59" t="s">
        <v>40</v>
      </c>
      <c r="S72">
        <v>5</v>
      </c>
      <c r="T72">
        <v>6</v>
      </c>
      <c r="U72" s="3">
        <v>87120</v>
      </c>
      <c r="V72" s="3"/>
      <c r="W72">
        <v>0</v>
      </c>
      <c r="X72">
        <v>0</v>
      </c>
      <c r="Y72">
        <v>6000</v>
      </c>
      <c r="Z72" s="3" t="s">
        <v>115</v>
      </c>
      <c r="AA72" t="s">
        <v>116</v>
      </c>
      <c r="AB72" t="s">
        <v>117</v>
      </c>
      <c r="AC72" s="4" t="s">
        <v>44</v>
      </c>
      <c r="AD72" s="5" t="s">
        <v>55</v>
      </c>
      <c r="AE72" t="s">
        <v>118</v>
      </c>
      <c r="AF72" t="s">
        <v>119</v>
      </c>
      <c r="AH72">
        <v>2466</v>
      </c>
      <c r="AI72">
        <v>73365</v>
      </c>
      <c r="AJ72">
        <v>734</v>
      </c>
      <c r="AK72">
        <v>38</v>
      </c>
    </row>
    <row r="73" spans="1:37">
      <c r="A73" s="1" t="s">
        <v>114</v>
      </c>
      <c r="B73" t="s">
        <v>120</v>
      </c>
      <c r="C73" s="3">
        <v>1258525</v>
      </c>
      <c r="D73" s="3">
        <v>610425</v>
      </c>
      <c r="E73" s="3">
        <v>112100</v>
      </c>
      <c r="F73" s="3">
        <v>16815</v>
      </c>
      <c r="G73" s="3">
        <v>213320</v>
      </c>
      <c r="H73" s="3">
        <v>0</v>
      </c>
      <c r="I73" s="3"/>
      <c r="J73" s="3">
        <v>0</v>
      </c>
      <c r="K73" s="3"/>
      <c r="L73" s="3"/>
      <c r="M73" s="3">
        <v>0</v>
      </c>
      <c r="N73" s="3"/>
      <c r="O73">
        <v>604380</v>
      </c>
      <c r="P73">
        <v>60438</v>
      </c>
      <c r="Q73">
        <v>654143</v>
      </c>
      <c r="R73" s="59" t="s">
        <v>40</v>
      </c>
      <c r="S73">
        <v>5</v>
      </c>
      <c r="T73">
        <v>6</v>
      </c>
      <c r="U73" s="3">
        <v>87120</v>
      </c>
      <c r="V73" s="3"/>
      <c r="W73">
        <v>0</v>
      </c>
      <c r="X73">
        <v>0</v>
      </c>
      <c r="Y73">
        <v>6000</v>
      </c>
      <c r="Z73" s="3" t="s">
        <v>115</v>
      </c>
      <c r="AA73" t="s">
        <v>116</v>
      </c>
      <c r="AB73" t="s">
        <v>117</v>
      </c>
      <c r="AC73" s="4" t="s">
        <v>44</v>
      </c>
      <c r="AD73" s="5" t="s">
        <v>55</v>
      </c>
      <c r="AE73" t="s">
        <v>118</v>
      </c>
      <c r="AF73" t="s">
        <v>119</v>
      </c>
    </row>
    <row r="74" spans="1:37">
      <c r="A74" s="1" t="s">
        <v>114</v>
      </c>
      <c r="B74" s="13" t="s">
        <v>62</v>
      </c>
      <c r="C74" s="12">
        <v>1042046</v>
      </c>
      <c r="D74" s="12">
        <v>504287</v>
      </c>
      <c r="E74" s="12">
        <v>108718</v>
      </c>
      <c r="F74" s="12">
        <v>16308</v>
      </c>
      <c r="G74" s="12">
        <v>120030</v>
      </c>
      <c r="H74" s="12">
        <v>0</v>
      </c>
      <c r="I74" s="12"/>
      <c r="J74" s="12">
        <v>0</v>
      </c>
      <c r="K74" s="12"/>
      <c r="L74" s="12"/>
      <c r="M74" s="12">
        <v>0</v>
      </c>
      <c r="N74" s="12"/>
      <c r="O74" s="12">
        <v>499293</v>
      </c>
      <c r="P74" s="12">
        <v>49929</v>
      </c>
      <c r="Q74" s="12">
        <v>542751</v>
      </c>
      <c r="R74" s="12" t="s">
        <v>40</v>
      </c>
      <c r="S74">
        <v>5</v>
      </c>
      <c r="T74">
        <v>6</v>
      </c>
      <c r="U74" s="3">
        <v>87120</v>
      </c>
      <c r="V74" s="3"/>
      <c r="W74">
        <v>0</v>
      </c>
      <c r="X74">
        <v>0</v>
      </c>
      <c r="Y74">
        <v>6000</v>
      </c>
      <c r="Z74" s="3" t="s">
        <v>115</v>
      </c>
      <c r="AA74" t="s">
        <v>116</v>
      </c>
      <c r="AB74" t="s">
        <v>117</v>
      </c>
      <c r="AC74" s="4" t="s">
        <v>44</v>
      </c>
      <c r="AD74" s="5" t="s">
        <v>55</v>
      </c>
      <c r="AE74" t="s">
        <v>118</v>
      </c>
      <c r="AF74" t="s">
        <v>119</v>
      </c>
    </row>
    <row r="75" spans="1:37">
      <c r="A75" s="1" t="s">
        <v>114</v>
      </c>
      <c r="B75" s="13" t="s">
        <v>63</v>
      </c>
      <c r="C75" s="12">
        <v>1103862</v>
      </c>
      <c r="D75" s="12">
        <v>534595</v>
      </c>
      <c r="E75" s="12">
        <v>108718</v>
      </c>
      <c r="F75" s="12">
        <v>16308</v>
      </c>
      <c r="G75" s="12">
        <v>150038</v>
      </c>
      <c r="H75" s="12">
        <v>0</v>
      </c>
      <c r="I75" s="12"/>
      <c r="J75" s="12">
        <v>0</v>
      </c>
      <c r="K75" s="12"/>
      <c r="L75" s="12"/>
      <c r="M75" s="12">
        <v>0</v>
      </c>
      <c r="N75" s="12"/>
      <c r="O75" s="12">
        <v>529301</v>
      </c>
      <c r="P75" s="12">
        <v>52930</v>
      </c>
      <c r="Q75" s="12">
        <v>574560</v>
      </c>
      <c r="R75" s="12" t="s">
        <v>40</v>
      </c>
      <c r="S75">
        <v>5</v>
      </c>
      <c r="T75">
        <v>6</v>
      </c>
      <c r="U75" s="3">
        <v>87120</v>
      </c>
      <c r="V75" s="3"/>
      <c r="W75">
        <v>0</v>
      </c>
      <c r="X75">
        <v>0</v>
      </c>
      <c r="Y75">
        <v>6000</v>
      </c>
      <c r="Z75" s="3" t="s">
        <v>115</v>
      </c>
      <c r="AA75" t="s">
        <v>116</v>
      </c>
      <c r="AB75" t="s">
        <v>117</v>
      </c>
      <c r="AC75" s="4" t="s">
        <v>44</v>
      </c>
      <c r="AD75" s="5" t="s">
        <v>55</v>
      </c>
      <c r="AE75" t="s">
        <v>118</v>
      </c>
      <c r="AF75" t="s">
        <v>119</v>
      </c>
    </row>
    <row r="76" spans="1:37">
      <c r="A76" s="1" t="s">
        <v>114</v>
      </c>
      <c r="B76" t="s">
        <v>121</v>
      </c>
      <c r="C76" s="3">
        <v>1069304</v>
      </c>
      <c r="D76" s="3">
        <v>517651</v>
      </c>
      <c r="E76" s="3">
        <v>111993</v>
      </c>
      <c r="F76" s="3">
        <v>16799</v>
      </c>
      <c r="G76" s="3">
        <v>121838</v>
      </c>
      <c r="H76" s="3">
        <v>0</v>
      </c>
      <c r="I76" s="3"/>
      <c r="J76" s="3">
        <v>0</v>
      </c>
      <c r="K76" s="3"/>
      <c r="L76" s="3"/>
      <c r="M76" s="3">
        <v>0</v>
      </c>
      <c r="N76" s="3"/>
      <c r="O76" s="3">
        <v>512526</v>
      </c>
      <c r="P76" s="3">
        <v>51253</v>
      </c>
      <c r="Q76" s="3">
        <v>556778</v>
      </c>
      <c r="R76" s="3" t="s">
        <v>40</v>
      </c>
      <c r="S76" s="3">
        <v>5</v>
      </c>
      <c r="T76" s="3">
        <v>6</v>
      </c>
      <c r="U76" s="3">
        <v>87120</v>
      </c>
      <c r="V76" s="3"/>
      <c r="W76">
        <v>0</v>
      </c>
      <c r="X76">
        <v>0</v>
      </c>
      <c r="Y76">
        <v>6000</v>
      </c>
      <c r="Z76" s="3" t="s">
        <v>115</v>
      </c>
      <c r="AA76" t="s">
        <v>116</v>
      </c>
      <c r="AB76" t="s">
        <v>117</v>
      </c>
      <c r="AC76" s="4" t="s">
        <v>44</v>
      </c>
      <c r="AD76" s="5" t="s">
        <v>55</v>
      </c>
      <c r="AE76" t="s">
        <v>118</v>
      </c>
      <c r="AF76" t="s">
        <v>119</v>
      </c>
    </row>
    <row r="77" spans="1:37">
      <c r="A77" s="1" t="s">
        <v>114</v>
      </c>
      <c r="B77" s="18" t="s">
        <v>70</v>
      </c>
      <c r="C77" s="21">
        <v>740790</v>
      </c>
      <c r="D77" s="21">
        <v>572215</v>
      </c>
      <c r="E77" s="21">
        <v>126437</v>
      </c>
      <c r="F77" s="21">
        <v>12453</v>
      </c>
      <c r="G77" s="22">
        <v>151459</v>
      </c>
      <c r="H77" s="22">
        <v>0</v>
      </c>
      <c r="I77" s="22"/>
      <c r="J77" s="22">
        <v>0</v>
      </c>
      <c r="K77" s="22"/>
      <c r="L77" s="22"/>
      <c r="M77" s="22">
        <v>87120</v>
      </c>
      <c r="N77" s="22"/>
      <c r="O77" s="22">
        <v>566549.69999999995</v>
      </c>
      <c r="P77" s="22">
        <v>56654.94</v>
      </c>
      <c r="Q77" s="22">
        <v>669708.20899999898</v>
      </c>
      <c r="R77" s="22" t="s">
        <v>40</v>
      </c>
      <c r="S77" s="3">
        <v>5</v>
      </c>
      <c r="T77" s="3">
        <v>6</v>
      </c>
      <c r="U77" s="3">
        <v>87120</v>
      </c>
      <c r="V77" s="3"/>
      <c r="W77">
        <v>0</v>
      </c>
      <c r="X77">
        <v>0</v>
      </c>
      <c r="Y77">
        <v>6000</v>
      </c>
      <c r="Z77" s="3" t="s">
        <v>115</v>
      </c>
      <c r="AA77" t="s">
        <v>116</v>
      </c>
      <c r="AB77" t="s">
        <v>117</v>
      </c>
      <c r="AC77" s="4" t="s">
        <v>44</v>
      </c>
      <c r="AD77" s="5" t="s">
        <v>55</v>
      </c>
      <c r="AE77" t="s">
        <v>118</v>
      </c>
      <c r="AF77" t="s">
        <v>119</v>
      </c>
    </row>
    <row r="78" spans="1:37">
      <c r="A78" s="1" t="s">
        <v>114</v>
      </c>
      <c r="B78" s="18" t="s">
        <v>71</v>
      </c>
      <c r="C78" s="21">
        <v>733086</v>
      </c>
      <c r="D78" s="21">
        <v>564434</v>
      </c>
      <c r="E78" s="21">
        <v>122410</v>
      </c>
      <c r="F78" s="21">
        <v>13439</v>
      </c>
      <c r="G78" s="22">
        <v>151459</v>
      </c>
      <c r="H78" s="22">
        <v>0</v>
      </c>
      <c r="I78" s="22"/>
      <c r="J78" s="22">
        <v>0</v>
      </c>
      <c r="K78" s="22"/>
      <c r="L78" s="22"/>
      <c r="M78" s="22">
        <v>87120</v>
      </c>
      <c r="N78" s="22"/>
      <c r="O78" s="22">
        <v>558845.81000000006</v>
      </c>
      <c r="P78" s="22">
        <v>55884.550999999999</v>
      </c>
      <c r="Q78" s="22">
        <v>661465</v>
      </c>
      <c r="R78" s="22" t="s">
        <v>40</v>
      </c>
      <c r="S78" s="3">
        <v>5</v>
      </c>
      <c r="T78" s="3">
        <v>6</v>
      </c>
      <c r="U78" s="3">
        <v>87120</v>
      </c>
      <c r="V78" s="3"/>
      <c r="W78">
        <v>0</v>
      </c>
      <c r="X78">
        <v>0</v>
      </c>
      <c r="Y78">
        <v>6000</v>
      </c>
      <c r="Z78" s="3" t="s">
        <v>115</v>
      </c>
      <c r="AA78" t="s">
        <v>116</v>
      </c>
      <c r="AB78" t="s">
        <v>117</v>
      </c>
      <c r="AC78" s="4" t="s">
        <v>44</v>
      </c>
      <c r="AD78" s="5" t="s">
        <v>55</v>
      </c>
      <c r="AE78" t="s">
        <v>118</v>
      </c>
      <c r="AF78" t="s">
        <v>119</v>
      </c>
    </row>
    <row r="79" spans="1:37">
      <c r="A79" s="1" t="s">
        <v>114</v>
      </c>
      <c r="B79" s="3" t="s">
        <v>73</v>
      </c>
      <c r="C79" s="3">
        <v>310232</v>
      </c>
      <c r="D79" s="3">
        <v>137252</v>
      </c>
      <c r="E79" s="3">
        <v>87594</v>
      </c>
      <c r="F79" s="3">
        <v>10739</v>
      </c>
      <c r="G79" s="3">
        <v>47193</v>
      </c>
      <c r="H79" s="3"/>
      <c r="I79" s="3"/>
      <c r="J79" s="3"/>
      <c r="K79" s="3"/>
      <c r="L79" s="3"/>
      <c r="M79" s="3"/>
      <c r="N79" s="3"/>
      <c r="R79" t="s">
        <v>40</v>
      </c>
      <c r="S79" s="3">
        <v>5</v>
      </c>
      <c r="T79" s="3">
        <v>6</v>
      </c>
      <c r="U79" s="3">
        <v>87120</v>
      </c>
      <c r="V79" s="3"/>
      <c r="W79">
        <v>0</v>
      </c>
      <c r="X79">
        <v>0</v>
      </c>
      <c r="Y79">
        <v>6000</v>
      </c>
      <c r="Z79" s="3" t="s">
        <v>115</v>
      </c>
      <c r="AA79" t="s">
        <v>116</v>
      </c>
      <c r="AB79" t="s">
        <v>117</v>
      </c>
      <c r="AC79" s="4" t="s">
        <v>44</v>
      </c>
      <c r="AD79" s="5" t="s">
        <v>55</v>
      </c>
      <c r="AE79" t="s">
        <v>118</v>
      </c>
      <c r="AF79" t="s">
        <v>119</v>
      </c>
    </row>
    <row r="80" spans="1:37">
      <c r="A80" s="1" t="s">
        <v>114</v>
      </c>
      <c r="B80" s="3" t="s">
        <v>74</v>
      </c>
      <c r="C80" s="3">
        <v>491554</v>
      </c>
      <c r="D80" s="3">
        <v>320487</v>
      </c>
      <c r="E80" s="3">
        <v>87594</v>
      </c>
      <c r="F80" s="3">
        <v>10739</v>
      </c>
      <c r="G80" s="3">
        <v>110117</v>
      </c>
      <c r="H80" s="3"/>
      <c r="I80" s="3"/>
      <c r="J80" s="3"/>
      <c r="K80" s="3"/>
      <c r="L80" s="3"/>
      <c r="M80" s="3"/>
      <c r="N80" s="3"/>
      <c r="R80" t="s">
        <v>40</v>
      </c>
      <c r="S80" s="3">
        <v>5</v>
      </c>
      <c r="T80" s="3">
        <v>6</v>
      </c>
      <c r="U80" s="3">
        <v>87120</v>
      </c>
      <c r="V80" s="3"/>
      <c r="W80">
        <v>0</v>
      </c>
      <c r="X80">
        <v>0</v>
      </c>
      <c r="Y80">
        <v>6000</v>
      </c>
      <c r="Z80" s="3" t="s">
        <v>115</v>
      </c>
      <c r="AA80" t="s">
        <v>116</v>
      </c>
      <c r="AB80" t="s">
        <v>117</v>
      </c>
      <c r="AC80" s="4" t="s">
        <v>44</v>
      </c>
      <c r="AD80" s="5" t="s">
        <v>55</v>
      </c>
      <c r="AE80" t="s">
        <v>118</v>
      </c>
      <c r="AF80" t="s">
        <v>119</v>
      </c>
    </row>
    <row r="81" spans="1:37">
      <c r="A81" s="1" t="s">
        <v>114</v>
      </c>
      <c r="B81" s="34" t="s">
        <v>75</v>
      </c>
      <c r="C81" s="34">
        <v>515357</v>
      </c>
      <c r="D81" s="34">
        <v>344529</v>
      </c>
      <c r="E81" s="34">
        <v>99174</v>
      </c>
      <c r="F81" s="34">
        <v>10874</v>
      </c>
      <c r="G81" s="34">
        <v>110117</v>
      </c>
      <c r="H81" s="3"/>
      <c r="I81" s="3"/>
      <c r="J81" s="3"/>
      <c r="K81" s="3"/>
      <c r="L81" s="3"/>
      <c r="M81" s="3"/>
      <c r="N81" s="3"/>
      <c r="R81" t="s">
        <v>40</v>
      </c>
      <c r="S81" s="3">
        <v>5</v>
      </c>
      <c r="T81" s="3">
        <v>6</v>
      </c>
      <c r="U81" s="3">
        <v>87120</v>
      </c>
      <c r="V81" s="3"/>
      <c r="W81">
        <v>0</v>
      </c>
      <c r="X81">
        <v>0</v>
      </c>
      <c r="Y81">
        <v>6000</v>
      </c>
      <c r="Z81" s="3" t="s">
        <v>115</v>
      </c>
      <c r="AA81" t="s">
        <v>116</v>
      </c>
      <c r="AB81" t="s">
        <v>117</v>
      </c>
      <c r="AC81" s="4" t="s">
        <v>44</v>
      </c>
      <c r="AD81" s="5" t="s">
        <v>55</v>
      </c>
      <c r="AE81" t="s">
        <v>118</v>
      </c>
      <c r="AF81" t="s">
        <v>119</v>
      </c>
    </row>
    <row r="82" spans="1:37">
      <c r="A82" s="1" t="s">
        <v>114</v>
      </c>
      <c r="B82" s="38" t="s">
        <v>78</v>
      </c>
      <c r="C82" s="38">
        <v>4832628</v>
      </c>
      <c r="D82" s="38">
        <v>345166</v>
      </c>
      <c r="E82" s="38">
        <v>98803</v>
      </c>
      <c r="F82" s="38">
        <v>11765</v>
      </c>
      <c r="G82" s="38">
        <v>109010</v>
      </c>
      <c r="H82" s="38">
        <v>0</v>
      </c>
      <c r="I82" s="38"/>
      <c r="J82" s="38">
        <v>0</v>
      </c>
      <c r="K82" s="38"/>
      <c r="L82" s="38"/>
      <c r="M82" s="38">
        <v>1045440</v>
      </c>
      <c r="N82" s="38"/>
      <c r="O82" s="38">
        <v>341748</v>
      </c>
      <c r="P82" s="38">
        <v>34175</v>
      </c>
      <c r="Q82" s="38">
        <v>341748</v>
      </c>
      <c r="R82" s="38" t="s">
        <v>40</v>
      </c>
      <c r="S82" s="3">
        <v>5</v>
      </c>
      <c r="T82" s="3">
        <v>6</v>
      </c>
      <c r="U82" s="3">
        <v>87120</v>
      </c>
      <c r="V82" s="3">
        <v>6</v>
      </c>
      <c r="W82">
        <v>0</v>
      </c>
      <c r="X82">
        <v>0</v>
      </c>
      <c r="Y82">
        <v>6000</v>
      </c>
      <c r="Z82" s="3" t="s">
        <v>115</v>
      </c>
      <c r="AA82" t="s">
        <v>116</v>
      </c>
      <c r="AB82" t="s">
        <v>117</v>
      </c>
      <c r="AC82" s="4" t="s">
        <v>44</v>
      </c>
      <c r="AD82" s="5" t="s">
        <v>55</v>
      </c>
      <c r="AE82" s="38" t="s">
        <v>118</v>
      </c>
      <c r="AF82" s="38" t="s">
        <v>119</v>
      </c>
    </row>
    <row r="83" spans="1:37">
      <c r="A83" s="1" t="s">
        <v>114</v>
      </c>
      <c r="B83" t="s">
        <v>122</v>
      </c>
      <c r="C83" s="3">
        <v>3909863</v>
      </c>
      <c r="D83" s="3">
        <v>469067</v>
      </c>
      <c r="E83" s="3">
        <v>93567</v>
      </c>
      <c r="F83" s="3">
        <v>11598</v>
      </c>
      <c r="G83" s="3">
        <v>147738</v>
      </c>
      <c r="H83" s="38">
        <v>0</v>
      </c>
      <c r="I83" s="38"/>
      <c r="J83" s="38">
        <v>0</v>
      </c>
      <c r="K83" s="38"/>
      <c r="L83" s="38"/>
      <c r="M83" s="38">
        <v>1045440</v>
      </c>
      <c r="N83" s="38"/>
      <c r="O83" s="38">
        <v>464423</v>
      </c>
      <c r="P83" s="38">
        <v>46442</v>
      </c>
      <c r="Q83" s="38">
        <v>598673</v>
      </c>
      <c r="R83" s="38" t="s">
        <v>40</v>
      </c>
      <c r="S83" s="26">
        <v>5</v>
      </c>
      <c r="T83" s="26">
        <v>6</v>
      </c>
      <c r="U83" s="26">
        <v>87120</v>
      </c>
      <c r="V83" s="26">
        <v>6</v>
      </c>
      <c r="W83" s="25">
        <v>0</v>
      </c>
      <c r="X83" s="25">
        <v>0</v>
      </c>
      <c r="Y83" s="25">
        <v>6000</v>
      </c>
      <c r="Z83" s="26" t="s">
        <v>115</v>
      </c>
      <c r="AA83" s="25" t="s">
        <v>116</v>
      </c>
      <c r="AB83" s="25" t="s">
        <v>117</v>
      </c>
      <c r="AC83" s="52" t="s">
        <v>44</v>
      </c>
      <c r="AD83" s="53" t="s">
        <v>55</v>
      </c>
      <c r="AE83" s="42" t="s">
        <v>118</v>
      </c>
      <c r="AF83" s="42" t="s">
        <v>119</v>
      </c>
    </row>
    <row r="84" spans="1:37">
      <c r="A84" s="1" t="s">
        <v>114</v>
      </c>
      <c r="B84" t="s">
        <v>83</v>
      </c>
      <c r="C84" s="3">
        <v>2992616</v>
      </c>
      <c r="D84" s="3">
        <v>422560</v>
      </c>
      <c r="E84" s="3">
        <v>93567</v>
      </c>
      <c r="F84" s="3">
        <v>11598</v>
      </c>
      <c r="G84" s="3">
        <v>101691</v>
      </c>
      <c r="H84" s="3">
        <v>0</v>
      </c>
      <c r="I84" s="3"/>
      <c r="J84" s="3">
        <v>0</v>
      </c>
      <c r="K84" s="3">
        <v>0</v>
      </c>
      <c r="L84" s="3">
        <v>0</v>
      </c>
      <c r="M84" s="3"/>
      <c r="N84" s="3"/>
      <c r="R84" t="s">
        <v>40</v>
      </c>
      <c r="S84" s="26">
        <v>5</v>
      </c>
      <c r="T84" s="26">
        <v>6</v>
      </c>
      <c r="U84" s="26">
        <v>87120</v>
      </c>
      <c r="V84" s="26">
        <v>6</v>
      </c>
      <c r="W84" s="25">
        <v>0</v>
      </c>
      <c r="X84" s="25">
        <v>0</v>
      </c>
      <c r="Y84" s="25">
        <v>6000</v>
      </c>
      <c r="Z84" s="26" t="s">
        <v>115</v>
      </c>
      <c r="AA84" s="25" t="s">
        <v>123</v>
      </c>
      <c r="AB84" s="25" t="s">
        <v>124</v>
      </c>
      <c r="AC84" s="52" t="s">
        <v>44</v>
      </c>
      <c r="AD84" s="53" t="s">
        <v>55</v>
      </c>
      <c r="AE84" s="42" t="s">
        <v>125</v>
      </c>
      <c r="AF84" s="42" t="s">
        <v>119</v>
      </c>
    </row>
    <row r="85" spans="1:37">
      <c r="A85" s="1" t="s">
        <v>114</v>
      </c>
      <c r="B85" t="s">
        <v>84</v>
      </c>
      <c r="C85" s="3">
        <v>3863816</v>
      </c>
      <c r="D85" s="3">
        <v>422560</v>
      </c>
      <c r="E85" s="3">
        <v>93567</v>
      </c>
      <c r="F85" s="3">
        <v>11598</v>
      </c>
      <c r="G85" s="3">
        <v>101691</v>
      </c>
      <c r="H85" s="3">
        <v>0</v>
      </c>
      <c r="I85" s="3"/>
      <c r="J85" s="3">
        <v>0</v>
      </c>
      <c r="K85" s="3">
        <v>0</v>
      </c>
      <c r="L85" s="3">
        <v>0</v>
      </c>
      <c r="M85" s="3"/>
      <c r="N85" s="3"/>
      <c r="R85" t="s">
        <v>40</v>
      </c>
      <c r="S85" s="26">
        <v>5</v>
      </c>
      <c r="T85" s="26">
        <v>6</v>
      </c>
      <c r="U85" s="26">
        <v>87120</v>
      </c>
      <c r="V85" s="26"/>
      <c r="W85" s="25">
        <v>0</v>
      </c>
      <c r="X85" s="25">
        <v>0</v>
      </c>
      <c r="Y85" s="25">
        <v>6000</v>
      </c>
      <c r="Z85" s="26" t="s">
        <v>115</v>
      </c>
      <c r="AA85" s="25" t="s">
        <v>116</v>
      </c>
      <c r="AB85" s="25" t="s">
        <v>126</v>
      </c>
      <c r="AC85" s="52" t="s">
        <v>44</v>
      </c>
      <c r="AD85" s="53" t="s">
        <v>55</v>
      </c>
      <c r="AE85" s="42" t="s">
        <v>127</v>
      </c>
      <c r="AF85" s="42" t="s">
        <v>119</v>
      </c>
    </row>
    <row r="86" spans="1:37">
      <c r="A86" s="1" t="s">
        <v>114</v>
      </c>
      <c r="B86" s="43" t="s">
        <v>85</v>
      </c>
      <c r="C86" s="44"/>
      <c r="D86" s="44"/>
      <c r="E86" s="44"/>
      <c r="F86" s="44"/>
      <c r="G86" s="44"/>
      <c r="H86" s="3">
        <v>0</v>
      </c>
      <c r="I86" s="3"/>
      <c r="J86" s="3">
        <v>0</v>
      </c>
      <c r="K86" s="3">
        <v>0</v>
      </c>
      <c r="L86" s="3">
        <v>0</v>
      </c>
      <c r="M86" s="3"/>
      <c r="N86" s="3"/>
      <c r="R86" t="s">
        <v>40</v>
      </c>
      <c r="S86" s="26">
        <v>5</v>
      </c>
      <c r="T86" s="26">
        <v>6</v>
      </c>
      <c r="U86" s="26">
        <v>87120</v>
      </c>
      <c r="V86" s="26"/>
      <c r="W86" s="25">
        <v>0</v>
      </c>
      <c r="X86" s="25">
        <v>0</v>
      </c>
      <c r="Y86" s="25">
        <v>6000</v>
      </c>
      <c r="Z86" s="26" t="s">
        <v>115</v>
      </c>
      <c r="AA86" s="25" t="s">
        <v>116</v>
      </c>
      <c r="AB86" s="25" t="s">
        <v>128</v>
      </c>
      <c r="AC86" s="52" t="s">
        <v>44</v>
      </c>
      <c r="AD86" s="53" t="s">
        <v>55</v>
      </c>
      <c r="AE86" s="42" t="s">
        <v>129</v>
      </c>
      <c r="AF86" s="42" t="s">
        <v>119</v>
      </c>
    </row>
    <row r="87" spans="1:37">
      <c r="A87" s="1" t="s">
        <v>114</v>
      </c>
      <c r="B87" s="45" t="s">
        <v>86</v>
      </c>
      <c r="C87" s="46"/>
      <c r="D87" s="46"/>
      <c r="E87" s="46"/>
      <c r="F87" s="46"/>
      <c r="G87" s="46"/>
      <c r="H87" s="3">
        <v>0</v>
      </c>
      <c r="I87" s="3"/>
      <c r="J87" s="3">
        <v>0</v>
      </c>
      <c r="K87" s="3">
        <v>0</v>
      </c>
      <c r="L87" s="3">
        <v>0</v>
      </c>
      <c r="M87" s="3"/>
      <c r="N87" s="3"/>
      <c r="R87" t="s">
        <v>40</v>
      </c>
      <c r="S87" s="26">
        <v>5</v>
      </c>
      <c r="T87" s="26">
        <v>6</v>
      </c>
      <c r="U87" s="26">
        <v>87120</v>
      </c>
      <c r="V87" s="26"/>
      <c r="W87" s="25">
        <v>0</v>
      </c>
      <c r="X87" s="25">
        <v>0</v>
      </c>
      <c r="Y87" s="25">
        <v>6000</v>
      </c>
      <c r="Z87" s="26" t="s">
        <v>115</v>
      </c>
      <c r="AA87" s="25" t="s">
        <v>116</v>
      </c>
      <c r="AB87" s="25" t="s">
        <v>130</v>
      </c>
      <c r="AC87" s="52" t="s">
        <v>44</v>
      </c>
      <c r="AD87" s="53" t="s">
        <v>55</v>
      </c>
      <c r="AE87" s="42" t="s">
        <v>131</v>
      </c>
      <c r="AF87" s="42" t="s">
        <v>119</v>
      </c>
    </row>
    <row r="88" spans="1:37">
      <c r="A88" s="1" t="s">
        <v>114</v>
      </c>
      <c r="B88" s="36" t="s">
        <v>91</v>
      </c>
      <c r="C88" s="3">
        <v>3127574</v>
      </c>
      <c r="D88" s="3">
        <v>558867</v>
      </c>
      <c r="E88" s="3">
        <v>93462</v>
      </c>
      <c r="F88" s="3">
        <v>13439</v>
      </c>
      <c r="G88" s="3">
        <v>192606</v>
      </c>
      <c r="H88" s="3">
        <v>18500</v>
      </c>
      <c r="I88" s="3"/>
      <c r="J88" s="3">
        <v>0</v>
      </c>
      <c r="K88" s="3">
        <v>0</v>
      </c>
      <c r="L88" s="3">
        <v>0</v>
      </c>
      <c r="M88" s="3"/>
      <c r="N88" s="3"/>
      <c r="R88" t="s">
        <v>40</v>
      </c>
      <c r="S88" s="26">
        <v>5</v>
      </c>
      <c r="T88" s="26">
        <v>6</v>
      </c>
      <c r="U88" s="26">
        <v>87120</v>
      </c>
      <c r="V88" s="26"/>
      <c r="W88" s="25">
        <v>0</v>
      </c>
      <c r="X88" s="25">
        <v>0</v>
      </c>
      <c r="Y88" s="25">
        <v>6000</v>
      </c>
      <c r="Z88" s="26" t="s">
        <v>115</v>
      </c>
      <c r="AA88" s="25" t="s">
        <v>116</v>
      </c>
      <c r="AB88" s="25" t="s">
        <v>132</v>
      </c>
      <c r="AC88" s="52" t="s">
        <v>44</v>
      </c>
      <c r="AD88" s="53" t="s">
        <v>55</v>
      </c>
      <c r="AE88" s="42" t="s">
        <v>133</v>
      </c>
      <c r="AF88" s="42" t="s">
        <v>119</v>
      </c>
    </row>
    <row r="89" spans="1:37">
      <c r="A89" s="1" t="s">
        <v>114</v>
      </c>
      <c r="B89" s="36" t="s">
        <v>97</v>
      </c>
      <c r="C89" s="3">
        <v>4085188</v>
      </c>
      <c r="D89" s="3">
        <v>393645</v>
      </c>
      <c r="E89" s="3">
        <v>83924</v>
      </c>
      <c r="F89" s="3">
        <v>10454</v>
      </c>
      <c r="G89" s="3">
        <v>105496</v>
      </c>
      <c r="H89" s="3">
        <v>0</v>
      </c>
      <c r="I89" s="3"/>
      <c r="J89" s="3">
        <v>0</v>
      </c>
      <c r="K89" s="3">
        <v>0</v>
      </c>
      <c r="L89" s="3">
        <v>0</v>
      </c>
      <c r="M89" s="3">
        <v>522720</v>
      </c>
      <c r="N89" s="3">
        <v>2650000</v>
      </c>
      <c r="O89" s="3">
        <v>389747</v>
      </c>
      <c r="P89" s="3">
        <v>320985</v>
      </c>
      <c r="Q89" s="3">
        <v>68761</v>
      </c>
      <c r="R89" t="s">
        <v>40</v>
      </c>
      <c r="S89" s="26">
        <v>5</v>
      </c>
      <c r="T89" s="26">
        <v>6</v>
      </c>
      <c r="U89" s="26">
        <v>87120</v>
      </c>
      <c r="V89" s="26">
        <v>6</v>
      </c>
      <c r="W89" s="25">
        <v>0</v>
      </c>
      <c r="X89" s="25">
        <v>0</v>
      </c>
      <c r="Y89" s="25">
        <v>6000</v>
      </c>
      <c r="Z89" s="26" t="s">
        <v>115</v>
      </c>
      <c r="AA89" s="25" t="s">
        <v>116</v>
      </c>
      <c r="AB89" s="25" t="s">
        <v>134</v>
      </c>
      <c r="AC89" s="52" t="s">
        <v>44</v>
      </c>
      <c r="AD89" s="53" t="s">
        <v>55</v>
      </c>
      <c r="AE89" s="42" t="s">
        <v>135</v>
      </c>
      <c r="AF89" s="42" t="s">
        <v>119</v>
      </c>
    </row>
    <row r="90" spans="1:37">
      <c r="A90" s="1" t="s">
        <v>114</v>
      </c>
      <c r="B90" s="36" t="s">
        <v>98</v>
      </c>
      <c r="C90" s="3">
        <v>2982303</v>
      </c>
      <c r="D90" s="3">
        <v>461431</v>
      </c>
      <c r="E90" s="3">
        <v>105324</v>
      </c>
      <c r="F90" s="3">
        <v>11194</v>
      </c>
      <c r="G90" s="3">
        <v>107812</v>
      </c>
      <c r="H90" s="3">
        <v>0</v>
      </c>
      <c r="I90" s="3"/>
      <c r="J90" s="3">
        <v>0</v>
      </c>
      <c r="K90" s="3">
        <v>0</v>
      </c>
      <c r="L90" s="3">
        <v>0</v>
      </c>
      <c r="M90" s="3">
        <v>522720</v>
      </c>
      <c r="N90" s="3">
        <v>2982302</v>
      </c>
      <c r="O90" s="3">
        <v>456862</v>
      </c>
      <c r="P90" s="3">
        <v>387549</v>
      </c>
      <c r="Q90" s="3">
        <v>69313</v>
      </c>
      <c r="R90" t="s">
        <v>40</v>
      </c>
      <c r="S90" s="26">
        <v>5</v>
      </c>
      <c r="T90" s="26">
        <v>6</v>
      </c>
      <c r="U90" s="26">
        <v>87120</v>
      </c>
      <c r="V90" s="26">
        <v>6</v>
      </c>
      <c r="W90" s="25">
        <v>0</v>
      </c>
      <c r="X90" s="25">
        <v>0</v>
      </c>
      <c r="Y90" s="25">
        <v>6000</v>
      </c>
      <c r="Z90" s="26" t="s">
        <v>115</v>
      </c>
      <c r="AA90" s="25" t="s">
        <v>116</v>
      </c>
      <c r="AB90" s="25" t="s">
        <v>134</v>
      </c>
      <c r="AC90" s="52" t="s">
        <v>44</v>
      </c>
      <c r="AD90" s="53" t="s">
        <v>55</v>
      </c>
      <c r="AE90" s="42" t="s">
        <v>135</v>
      </c>
      <c r="AF90" s="42" t="s">
        <v>119</v>
      </c>
    </row>
    <row r="91" spans="1:37">
      <c r="A91" s="1" t="s">
        <v>114</v>
      </c>
      <c r="B91" s="25" t="s">
        <v>103</v>
      </c>
      <c r="C91" s="70">
        <v>3793003</v>
      </c>
      <c r="D91" s="3">
        <v>401569</v>
      </c>
      <c r="E91" s="3">
        <v>127590</v>
      </c>
      <c r="F91" s="3">
        <v>13989</v>
      </c>
      <c r="G91" s="3"/>
      <c r="H91" s="3"/>
      <c r="I91" s="3"/>
      <c r="J91" s="3"/>
      <c r="K91" s="3"/>
      <c r="L91" s="3"/>
      <c r="M91" s="3"/>
      <c r="N91" s="3"/>
      <c r="S91" s="26"/>
      <c r="T91" s="26"/>
      <c r="U91" s="26"/>
      <c r="V91" s="26"/>
      <c r="W91" s="25"/>
      <c r="X91" s="25"/>
      <c r="Y91" s="25"/>
      <c r="Z91" s="26"/>
      <c r="AA91" s="25"/>
      <c r="AB91" s="25"/>
      <c r="AC91" s="52"/>
      <c r="AD91" s="53"/>
      <c r="AE91" s="42" t="s">
        <v>135</v>
      </c>
      <c r="AF91" s="42" t="s">
        <v>119</v>
      </c>
    </row>
    <row r="92" spans="1:37">
      <c r="A92" s="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U92" s="3"/>
      <c r="V92" s="3"/>
      <c r="Z92" s="3"/>
      <c r="AC92" s="4"/>
      <c r="AD92" s="5"/>
    </row>
    <row r="93" spans="1:37" s="51" customFormat="1">
      <c r="A93" s="50" t="s">
        <v>136</v>
      </c>
      <c r="B93" s="50" t="s">
        <v>113</v>
      </c>
      <c r="E93" s="51" t="s">
        <v>137</v>
      </c>
      <c r="G93" s="34">
        <v>100000</v>
      </c>
      <c r="H93" s="51">
        <v>0</v>
      </c>
      <c r="J93" s="51">
        <v>0</v>
      </c>
      <c r="S93" s="51">
        <v>5</v>
      </c>
      <c r="T93" s="51">
        <v>6</v>
      </c>
      <c r="U93" s="34">
        <v>87120</v>
      </c>
      <c r="V93" s="34"/>
      <c r="W93" s="51">
        <v>0</v>
      </c>
      <c r="X93" s="51">
        <v>0</v>
      </c>
      <c r="Y93" s="51">
        <v>6000</v>
      </c>
      <c r="Z93" s="34" t="s">
        <v>115</v>
      </c>
      <c r="AA93" s="51" t="s">
        <v>116</v>
      </c>
      <c r="AB93" s="51" t="s">
        <v>117</v>
      </c>
      <c r="AC93" s="34" t="s">
        <v>44</v>
      </c>
      <c r="AD93" s="34" t="s">
        <v>55</v>
      </c>
      <c r="AE93" s="51" t="s">
        <v>118</v>
      </c>
      <c r="AF93" s="51" t="s">
        <v>119</v>
      </c>
    </row>
    <row r="94" spans="1:37" s="8" customFormat="1">
      <c r="A94" s="6"/>
      <c r="C94" s="7"/>
      <c r="D94" s="7"/>
      <c r="E94" s="7"/>
      <c r="F94" s="7"/>
      <c r="U94" s="7"/>
      <c r="V94" s="7"/>
      <c r="W94" s="7"/>
      <c r="X94" s="7"/>
      <c r="Y94" s="7"/>
      <c r="Z94" s="7"/>
      <c r="AD94" s="7"/>
    </row>
    <row r="96" spans="1:37" ht="15.95">
      <c r="A96" t="s">
        <v>138</v>
      </c>
      <c r="B96" s="25" t="s">
        <v>102</v>
      </c>
      <c r="C96" s="3">
        <v>5703743</v>
      </c>
      <c r="D96" s="3">
        <v>353644</v>
      </c>
      <c r="E96" s="3">
        <v>55925</v>
      </c>
      <c r="F96" s="3">
        <v>2798</v>
      </c>
      <c r="G96" s="3">
        <v>108613</v>
      </c>
      <c r="H96" s="3">
        <v>0</v>
      </c>
      <c r="I96" s="3">
        <v>8741</v>
      </c>
      <c r="J96" s="3">
        <v>0</v>
      </c>
      <c r="K96" s="3">
        <v>0</v>
      </c>
      <c r="L96" s="3">
        <v>0</v>
      </c>
      <c r="M96" s="3">
        <v>1306800</v>
      </c>
      <c r="N96" s="3">
        <v>2564511</v>
      </c>
      <c r="O96" s="3">
        <v>350142</v>
      </c>
      <c r="P96" s="3">
        <v>227833</v>
      </c>
      <c r="Q96" s="3">
        <v>122308</v>
      </c>
      <c r="R96" t="s">
        <v>40</v>
      </c>
      <c r="S96">
        <v>5</v>
      </c>
      <c r="T96">
        <v>4</v>
      </c>
      <c r="U96" s="26">
        <v>108900</v>
      </c>
      <c r="V96">
        <v>12</v>
      </c>
      <c r="W96" t="s">
        <v>139</v>
      </c>
      <c r="X96" t="s">
        <v>140</v>
      </c>
      <c r="Y96">
        <v>5000</v>
      </c>
      <c r="Z96" t="s">
        <v>141</v>
      </c>
      <c r="AA96" t="s">
        <v>142</v>
      </c>
      <c r="AB96" t="s">
        <v>143</v>
      </c>
      <c r="AC96" t="s">
        <v>109</v>
      </c>
      <c r="AD96" t="s">
        <v>109</v>
      </c>
      <c r="AE96" t="s">
        <v>144</v>
      </c>
      <c r="AF96" s="2" t="s">
        <v>145</v>
      </c>
      <c r="AH96">
        <v>29207</v>
      </c>
      <c r="AI96">
        <v>38230</v>
      </c>
      <c r="AJ96">
        <v>9784</v>
      </c>
      <c r="AK96">
        <v>25</v>
      </c>
    </row>
    <row r="97" spans="1:37" ht="15.95">
      <c r="A97" t="s">
        <v>138</v>
      </c>
      <c r="B97" t="s">
        <v>146</v>
      </c>
      <c r="C97" s="3">
        <v>5859278</v>
      </c>
      <c r="D97" s="3">
        <v>510734</v>
      </c>
      <c r="E97" s="3">
        <v>110529</v>
      </c>
      <c r="F97" s="3">
        <v>4639</v>
      </c>
      <c r="G97" s="3">
        <v>107739</v>
      </c>
      <c r="H97" s="3">
        <v>0</v>
      </c>
      <c r="I97" s="3">
        <v>8405</v>
      </c>
      <c r="J97" s="3">
        <v>0</v>
      </c>
      <c r="K97" s="3">
        <v>0</v>
      </c>
      <c r="L97" s="3">
        <v>0</v>
      </c>
      <c r="M97" s="3">
        <v>1306800</v>
      </c>
      <c r="N97" s="3">
        <v>2564414</v>
      </c>
      <c r="O97" s="3">
        <v>505677</v>
      </c>
      <c r="P97" s="3">
        <v>368167</v>
      </c>
      <c r="Q97" s="3">
        <v>137510</v>
      </c>
      <c r="R97" t="s">
        <v>40</v>
      </c>
      <c r="S97">
        <v>5</v>
      </c>
      <c r="T97">
        <v>4</v>
      </c>
      <c r="U97" s="26">
        <v>108900</v>
      </c>
      <c r="V97">
        <v>12</v>
      </c>
      <c r="W97" t="s">
        <v>139</v>
      </c>
      <c r="X97" t="s">
        <v>140</v>
      </c>
      <c r="Y97">
        <v>5000</v>
      </c>
      <c r="Z97" t="s">
        <v>141</v>
      </c>
      <c r="AA97" t="s">
        <v>142</v>
      </c>
      <c r="AB97" t="s">
        <v>143</v>
      </c>
      <c r="AC97" t="s">
        <v>109</v>
      </c>
      <c r="AD97" t="s">
        <v>109</v>
      </c>
      <c r="AE97" t="s">
        <v>144</v>
      </c>
      <c r="AF97" s="2" t="s">
        <v>145</v>
      </c>
      <c r="AH97">
        <v>21230</v>
      </c>
      <c r="AI97">
        <v>39429</v>
      </c>
      <c r="AJ97">
        <v>7295</v>
      </c>
      <c r="AK97">
        <v>25</v>
      </c>
    </row>
    <row r="98" spans="1:37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U98" s="26"/>
    </row>
    <row r="100" spans="1:37" s="51" customFormat="1">
      <c r="A100" s="50" t="s">
        <v>147</v>
      </c>
      <c r="B100" s="50" t="s">
        <v>113</v>
      </c>
      <c r="E100" s="51" t="s">
        <v>148</v>
      </c>
      <c r="G100" s="34"/>
      <c r="U100" s="34"/>
      <c r="V100" s="34"/>
      <c r="Z100" s="34"/>
      <c r="AC100" s="34"/>
      <c r="AD100" s="34"/>
    </row>
    <row r="101" spans="1:37" s="8" customFormat="1">
      <c r="A101" s="6"/>
      <c r="C101" s="7"/>
      <c r="D101" s="7"/>
      <c r="E101" s="7"/>
      <c r="F101" s="7"/>
      <c r="U101" s="7"/>
      <c r="V101" s="7"/>
      <c r="W101" s="7"/>
      <c r="X101" s="7"/>
      <c r="Y101" s="7"/>
      <c r="Z101" s="7"/>
      <c r="AD101" s="7"/>
    </row>
    <row r="102" spans="1:37">
      <c r="G102" t="s">
        <v>149</v>
      </c>
    </row>
    <row r="103" spans="1:37">
      <c r="A103" t="s">
        <v>150</v>
      </c>
      <c r="B103" s="25" t="s">
        <v>102</v>
      </c>
      <c r="C103" s="3">
        <v>2351263</v>
      </c>
      <c r="D103" s="3">
        <v>203599</v>
      </c>
      <c r="E103" s="3">
        <v>20731</v>
      </c>
      <c r="F103" s="3">
        <v>2925</v>
      </c>
      <c r="G103" s="68">
        <v>130000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609840</v>
      </c>
      <c r="N103" s="3">
        <v>1198549</v>
      </c>
      <c r="O103" s="3">
        <v>201583</v>
      </c>
      <c r="P103" s="3">
        <v>103990</v>
      </c>
      <c r="Q103" s="3">
        <v>97592</v>
      </c>
      <c r="R103" t="s">
        <v>151</v>
      </c>
      <c r="S103" s="3">
        <v>2</v>
      </c>
      <c r="T103" s="3">
        <v>4</v>
      </c>
      <c r="U103" s="3">
        <v>60984</v>
      </c>
      <c r="V103" s="3">
        <v>10</v>
      </c>
      <c r="W103" s="3">
        <v>0</v>
      </c>
      <c r="X103" s="3">
        <v>0</v>
      </c>
      <c r="Y103" s="3">
        <v>2200</v>
      </c>
      <c r="Z103" s="3" t="s">
        <v>152</v>
      </c>
      <c r="AA103" t="s">
        <v>142</v>
      </c>
      <c r="AB103" s="3" t="s">
        <v>153</v>
      </c>
      <c r="AC103" t="s">
        <v>109</v>
      </c>
      <c r="AD103" t="s">
        <v>55</v>
      </c>
      <c r="AE103" t="s">
        <v>154</v>
      </c>
      <c r="AF103" t="s">
        <v>155</v>
      </c>
    </row>
    <row r="104" spans="1:37">
      <c r="A104" t="s">
        <v>150</v>
      </c>
      <c r="B104" t="s">
        <v>146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37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37" s="51" customFormat="1" ht="15.95">
      <c r="A106" s="71" t="s">
        <v>156</v>
      </c>
      <c r="B106" s="50"/>
      <c r="G106" s="34"/>
      <c r="U106" s="34"/>
      <c r="V106" s="34"/>
      <c r="Z106" s="34"/>
      <c r="AC106" s="34"/>
      <c r="AD106" s="34"/>
    </row>
    <row r="107" spans="1:37" s="8" customFormat="1">
      <c r="A107" s="6"/>
      <c r="C107" s="7"/>
      <c r="D107" s="7"/>
      <c r="E107" s="7"/>
      <c r="F107" s="7"/>
      <c r="U107" s="7"/>
      <c r="V107" s="7"/>
      <c r="W107" s="7"/>
      <c r="X107" s="7"/>
      <c r="Y107" s="7"/>
      <c r="Z107" s="7"/>
      <c r="AD107" s="7"/>
    </row>
    <row r="108" spans="1:37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37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37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37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37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37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37" s="51" customFormat="1">
      <c r="A114" s="50" t="s">
        <v>157</v>
      </c>
      <c r="B114" s="50"/>
      <c r="G114" s="34"/>
      <c r="U114" s="34"/>
      <c r="V114" s="34"/>
      <c r="Z114" s="34"/>
      <c r="AC114" s="34"/>
      <c r="AD114" s="34"/>
    </row>
    <row r="115" spans="1:37" s="8" customFormat="1">
      <c r="A115" s="6"/>
      <c r="C115" s="7"/>
      <c r="D115" s="7"/>
      <c r="E115" s="7"/>
      <c r="F115" s="7"/>
      <c r="U115" s="7"/>
      <c r="V115" s="7"/>
      <c r="W115" s="7"/>
      <c r="X115" s="7"/>
      <c r="Y115" s="7"/>
      <c r="Z115" s="7"/>
      <c r="AD115" s="7"/>
    </row>
    <row r="116" spans="1:37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37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F117" t="s">
        <v>158</v>
      </c>
    </row>
    <row r="118" spans="1:37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37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37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2" spans="1:37" s="51" customFormat="1">
      <c r="A122" s="50"/>
      <c r="B122" s="50"/>
      <c r="G122" s="34"/>
      <c r="U122" s="34"/>
      <c r="V122" s="34"/>
      <c r="Z122" s="34"/>
      <c r="AC122" s="34"/>
      <c r="AD122" s="34"/>
    </row>
    <row r="123" spans="1:37" s="8" customFormat="1">
      <c r="A123" s="6"/>
      <c r="C123" s="7"/>
      <c r="D123" s="7"/>
      <c r="E123" s="7"/>
      <c r="F123" s="7"/>
      <c r="U123" s="7"/>
      <c r="V123" s="7"/>
      <c r="W123" s="7"/>
      <c r="X123" s="7"/>
      <c r="Y123" s="7"/>
      <c r="Z123" s="7"/>
      <c r="AD123" s="7"/>
    </row>
    <row r="124" spans="1:37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37">
      <c r="A125" t="s">
        <v>159</v>
      </c>
      <c r="B125" t="s">
        <v>160</v>
      </c>
      <c r="C125" s="3">
        <v>4587662</v>
      </c>
      <c r="D125" s="3">
        <v>434019</v>
      </c>
      <c r="E125" s="3">
        <v>49740</v>
      </c>
      <c r="F125" s="3">
        <v>3083</v>
      </c>
      <c r="G125" s="3">
        <v>103608</v>
      </c>
      <c r="H125" s="3"/>
      <c r="I125" s="3">
        <v>20063</v>
      </c>
      <c r="J125" s="3">
        <v>0</v>
      </c>
      <c r="K125" s="3">
        <v>0</v>
      </c>
      <c r="L125" s="3">
        <v>0</v>
      </c>
      <c r="M125" s="3">
        <v>522720</v>
      </c>
      <c r="N125" s="3">
        <v>2698627</v>
      </c>
      <c r="O125" s="3">
        <v>429721</v>
      </c>
      <c r="P125" s="3">
        <v>210142</v>
      </c>
      <c r="Q125" s="3">
        <v>219579</v>
      </c>
      <c r="S125" s="3">
        <v>5</v>
      </c>
      <c r="T125" s="3">
        <v>2</v>
      </c>
      <c r="U125" s="3">
        <v>65340</v>
      </c>
      <c r="V125" s="3">
        <v>8</v>
      </c>
      <c r="W125" s="3" t="s">
        <v>161</v>
      </c>
      <c r="X125" s="3" t="s">
        <v>162</v>
      </c>
      <c r="Y125" s="3">
        <v>5000</v>
      </c>
      <c r="Z125" s="3" t="s">
        <v>163</v>
      </c>
      <c r="AA125" s="3" t="s">
        <v>116</v>
      </c>
      <c r="AB125" s="3" t="s">
        <v>143</v>
      </c>
      <c r="AC125" t="s">
        <v>44</v>
      </c>
      <c r="AD125" t="s">
        <v>55</v>
      </c>
      <c r="AE125" s="69" t="s">
        <v>164</v>
      </c>
      <c r="AF125" t="s">
        <v>165</v>
      </c>
      <c r="AH125">
        <v>8422</v>
      </c>
      <c r="AI125">
        <v>96153</v>
      </c>
      <c r="AJ125">
        <v>3080</v>
      </c>
      <c r="AK125">
        <v>35</v>
      </c>
    </row>
    <row r="126" spans="1:37">
      <c r="A126" t="s">
        <v>159</v>
      </c>
      <c r="B126" t="s">
        <v>146</v>
      </c>
      <c r="C126" s="3">
        <v>4696820</v>
      </c>
      <c r="D126" s="3">
        <v>544268</v>
      </c>
      <c r="E126" s="3">
        <v>95657</v>
      </c>
      <c r="F126" s="3">
        <v>3250</v>
      </c>
      <c r="G126" s="3">
        <v>99463</v>
      </c>
      <c r="I126" s="3">
        <v>18398</v>
      </c>
      <c r="J126" s="3">
        <v>0</v>
      </c>
      <c r="K126" s="3">
        <v>0</v>
      </c>
      <c r="L126" s="3">
        <v>0</v>
      </c>
      <c r="M126" s="3">
        <v>522720</v>
      </c>
      <c r="N126" s="3">
        <v>2699429</v>
      </c>
      <c r="O126" s="3">
        <v>538879</v>
      </c>
      <c r="P126" s="3">
        <v>316268</v>
      </c>
      <c r="Q126" s="3">
        <v>222610</v>
      </c>
      <c r="S126" s="3">
        <v>5</v>
      </c>
      <c r="T126" s="3">
        <v>2</v>
      </c>
      <c r="U126" s="3">
        <v>65340</v>
      </c>
      <c r="V126" s="3">
        <v>8</v>
      </c>
      <c r="W126" s="3" t="s">
        <v>161</v>
      </c>
      <c r="X126" s="3" t="s">
        <v>162</v>
      </c>
      <c r="Y126" s="3">
        <v>5000</v>
      </c>
      <c r="Z126" s="3" t="s">
        <v>163</v>
      </c>
      <c r="AA126" s="3" t="s">
        <v>116</v>
      </c>
      <c r="AB126" s="3" t="s">
        <v>143</v>
      </c>
      <c r="AC126" t="s">
        <v>44</v>
      </c>
      <c r="AD126" t="s">
        <v>55</v>
      </c>
      <c r="AE126" s="69" t="s">
        <v>164</v>
      </c>
      <c r="AF126" t="s">
        <v>165</v>
      </c>
      <c r="AH126">
        <v>7847</v>
      </c>
      <c r="AI126">
        <v>97018</v>
      </c>
      <c r="AJ126">
        <v>2740</v>
      </c>
      <c r="AK126">
        <v>36</v>
      </c>
    </row>
    <row r="127" spans="1:37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37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37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1" spans="1:37" s="51" customFormat="1" ht="15.95">
      <c r="A131" s="71" t="s">
        <v>166</v>
      </c>
      <c r="B131" s="50"/>
      <c r="G131" s="34"/>
      <c r="U131" s="34"/>
      <c r="V131" s="34"/>
      <c r="Z131" s="34"/>
      <c r="AC131" s="34"/>
      <c r="AD131" s="34"/>
    </row>
    <row r="132" spans="1:37" s="8" customFormat="1">
      <c r="A132" s="6"/>
      <c r="C132" s="7"/>
      <c r="D132" s="7"/>
      <c r="E132" s="7"/>
      <c r="F132" s="7"/>
      <c r="U132" s="7"/>
      <c r="V132" s="7"/>
      <c r="W132" s="7"/>
      <c r="X132" s="7"/>
      <c r="Y132" s="7"/>
      <c r="Z132" s="7"/>
      <c r="AD132" s="7"/>
    </row>
    <row r="134" spans="1:37" ht="15.95">
      <c r="A134" t="s">
        <v>167</v>
      </c>
      <c r="B134" t="s">
        <v>121</v>
      </c>
      <c r="C134">
        <v>1560867</v>
      </c>
      <c r="D134">
        <v>689735</v>
      </c>
      <c r="E134">
        <v>158450</v>
      </c>
      <c r="F134">
        <v>26408</v>
      </c>
      <c r="G134">
        <v>119617</v>
      </c>
      <c r="H134">
        <v>0</v>
      </c>
      <c r="J134">
        <v>0</v>
      </c>
      <c r="M134">
        <v>0</v>
      </c>
      <c r="O134">
        <v>682906</v>
      </c>
      <c r="P134">
        <v>68291</v>
      </c>
      <c r="Q134">
        <v>877961</v>
      </c>
      <c r="R134" t="s">
        <v>40</v>
      </c>
      <c r="S134">
        <v>6</v>
      </c>
      <c r="T134">
        <v>8</v>
      </c>
      <c r="U134">
        <v>87120</v>
      </c>
      <c r="W134">
        <v>0</v>
      </c>
      <c r="X134">
        <v>0</v>
      </c>
      <c r="Y134">
        <v>5400</v>
      </c>
      <c r="Z134" t="s">
        <v>168</v>
      </c>
      <c r="AA134" t="s">
        <v>169</v>
      </c>
      <c r="AB134" s="3" t="s">
        <v>43</v>
      </c>
      <c r="AC134" t="s">
        <v>109</v>
      </c>
      <c r="AD134" t="s">
        <v>109</v>
      </c>
      <c r="AE134" t="s">
        <v>170</v>
      </c>
      <c r="AF134" s="2" t="s">
        <v>171</v>
      </c>
      <c r="AH134">
        <v>17042</v>
      </c>
      <c r="AI134">
        <v>80819</v>
      </c>
      <c r="AJ134">
        <v>6362</v>
      </c>
      <c r="AK134">
        <v>41</v>
      </c>
    </row>
    <row r="135" spans="1:37" ht="15.95">
      <c r="A135" t="s">
        <v>167</v>
      </c>
      <c r="B135" s="3" t="s">
        <v>73</v>
      </c>
      <c r="C135">
        <v>481509</v>
      </c>
      <c r="D135">
        <v>310342</v>
      </c>
      <c r="E135">
        <v>174417</v>
      </c>
      <c r="F135">
        <v>10062</v>
      </c>
      <c r="G135">
        <v>68741</v>
      </c>
      <c r="H135">
        <v>0</v>
      </c>
      <c r="J135">
        <v>0</v>
      </c>
      <c r="M135">
        <v>0</v>
      </c>
      <c r="O135">
        <v>682906</v>
      </c>
      <c r="P135">
        <v>68291</v>
      </c>
      <c r="Q135">
        <v>877961</v>
      </c>
      <c r="R135" t="s">
        <v>40</v>
      </c>
      <c r="S135">
        <v>6</v>
      </c>
      <c r="T135">
        <v>8</v>
      </c>
      <c r="U135">
        <v>87120</v>
      </c>
      <c r="W135">
        <v>0</v>
      </c>
      <c r="X135">
        <v>0</v>
      </c>
      <c r="Y135">
        <v>5400</v>
      </c>
      <c r="Z135" t="s">
        <v>168</v>
      </c>
      <c r="AA135" t="s">
        <v>169</v>
      </c>
      <c r="AB135" s="3" t="s">
        <v>43</v>
      </c>
      <c r="AC135" t="s">
        <v>109</v>
      </c>
      <c r="AD135" t="s">
        <v>109</v>
      </c>
      <c r="AE135" t="s">
        <v>170</v>
      </c>
      <c r="AF135" s="2" t="s">
        <v>171</v>
      </c>
    </row>
    <row r="136" spans="1:37">
      <c r="A136" t="s">
        <v>167</v>
      </c>
      <c r="B136" s="3" t="s">
        <v>74</v>
      </c>
      <c r="C136">
        <v>700727</v>
      </c>
      <c r="D136">
        <v>531752</v>
      </c>
      <c r="E136">
        <v>174417</v>
      </c>
      <c r="F136">
        <v>10062</v>
      </c>
      <c r="G136">
        <v>145538</v>
      </c>
      <c r="H136">
        <v>0</v>
      </c>
      <c r="J136">
        <v>0</v>
      </c>
      <c r="M136">
        <v>0</v>
      </c>
      <c r="O136">
        <v>682906</v>
      </c>
      <c r="P136">
        <v>68291</v>
      </c>
      <c r="Q136">
        <v>877961</v>
      </c>
      <c r="R136" t="s">
        <v>40</v>
      </c>
      <c r="S136">
        <v>6</v>
      </c>
      <c r="T136">
        <v>8</v>
      </c>
      <c r="U136">
        <v>87120</v>
      </c>
      <c r="W136">
        <v>0</v>
      </c>
      <c r="X136">
        <v>0</v>
      </c>
      <c r="Y136">
        <v>5400</v>
      </c>
      <c r="Z136" t="s">
        <v>168</v>
      </c>
      <c r="AA136" t="s">
        <v>169</v>
      </c>
      <c r="AB136" s="3" t="s">
        <v>43</v>
      </c>
      <c r="AC136" t="s">
        <v>109</v>
      </c>
      <c r="AD136" t="s">
        <v>109</v>
      </c>
      <c r="AE136" t="s">
        <v>170</v>
      </c>
      <c r="AF136" t="s">
        <v>171</v>
      </c>
    </row>
    <row r="137" spans="1:37">
      <c r="A137" s="1" t="s">
        <v>167</v>
      </c>
      <c r="B137" s="34" t="s">
        <v>75</v>
      </c>
      <c r="C137" s="34">
        <v>739291</v>
      </c>
      <c r="D137" s="34">
        <v>570702</v>
      </c>
      <c r="E137" s="34">
        <v>192011</v>
      </c>
      <c r="F137" s="34">
        <v>11126</v>
      </c>
      <c r="G137" s="34">
        <v>145538</v>
      </c>
      <c r="H137">
        <v>0</v>
      </c>
      <c r="J137">
        <v>0</v>
      </c>
      <c r="M137">
        <v>0</v>
      </c>
      <c r="O137">
        <v>682906</v>
      </c>
      <c r="P137">
        <v>68291</v>
      </c>
      <c r="Q137">
        <v>877961</v>
      </c>
      <c r="R137" t="s">
        <v>40</v>
      </c>
      <c r="S137">
        <v>6</v>
      </c>
      <c r="T137">
        <v>8</v>
      </c>
      <c r="U137">
        <v>87120</v>
      </c>
      <c r="W137">
        <v>0</v>
      </c>
      <c r="X137">
        <v>0</v>
      </c>
      <c r="Y137">
        <v>5400</v>
      </c>
      <c r="Z137" t="s">
        <v>172</v>
      </c>
      <c r="AA137" t="s">
        <v>169</v>
      </c>
      <c r="AB137" s="3" t="s">
        <v>43</v>
      </c>
      <c r="AC137" t="s">
        <v>109</v>
      </c>
      <c r="AD137" t="s">
        <v>109</v>
      </c>
      <c r="AE137" t="s">
        <v>170</v>
      </c>
      <c r="AF137" t="s">
        <v>171</v>
      </c>
    </row>
    <row r="138" spans="1:37">
      <c r="A138" s="1" t="s">
        <v>167</v>
      </c>
      <c r="B138" s="38" t="s">
        <v>76</v>
      </c>
      <c r="C138" s="38"/>
      <c r="D138" s="38"/>
      <c r="E138" s="38"/>
      <c r="F138" s="38"/>
      <c r="G138" s="38"/>
      <c r="H138">
        <v>0</v>
      </c>
      <c r="J138">
        <v>0</v>
      </c>
      <c r="M138">
        <v>0</v>
      </c>
      <c r="O138">
        <v>682906</v>
      </c>
      <c r="P138">
        <v>68291</v>
      </c>
      <c r="Q138">
        <v>877961</v>
      </c>
      <c r="R138" t="s">
        <v>40</v>
      </c>
      <c r="S138">
        <v>6</v>
      </c>
      <c r="T138">
        <v>8</v>
      </c>
      <c r="U138">
        <v>87120</v>
      </c>
      <c r="W138">
        <v>0</v>
      </c>
      <c r="X138">
        <v>0</v>
      </c>
      <c r="Y138">
        <v>5400</v>
      </c>
      <c r="Z138" t="s">
        <v>172</v>
      </c>
      <c r="AA138" t="s">
        <v>169</v>
      </c>
      <c r="AB138" s="3" t="s">
        <v>43</v>
      </c>
      <c r="AC138" t="s">
        <v>109</v>
      </c>
      <c r="AD138" t="s">
        <v>109</v>
      </c>
      <c r="AE138" s="41" t="s">
        <v>173</v>
      </c>
      <c r="AF138" t="s">
        <v>171</v>
      </c>
    </row>
    <row r="139" spans="1:37">
      <c r="A139" s="1" t="s">
        <v>167</v>
      </c>
      <c r="B139" s="38" t="s">
        <v>78</v>
      </c>
      <c r="C139" s="38">
        <v>4797325</v>
      </c>
      <c r="D139" s="38">
        <v>551910</v>
      </c>
      <c r="E139" s="38">
        <v>182402</v>
      </c>
      <c r="F139" s="38">
        <v>13948</v>
      </c>
      <c r="G139" s="38">
        <v>138489</v>
      </c>
      <c r="H139" s="38">
        <v>0</v>
      </c>
      <c r="I139" s="38"/>
      <c r="J139" s="38">
        <v>0</v>
      </c>
      <c r="K139" s="38"/>
      <c r="L139" s="38"/>
      <c r="M139" s="38">
        <v>1045440</v>
      </c>
      <c r="N139" s="38"/>
      <c r="O139" s="38">
        <v>546445</v>
      </c>
      <c r="P139" s="38">
        <v>54645</v>
      </c>
      <c r="Q139" s="38">
        <v>706021</v>
      </c>
      <c r="R139" s="38" t="s">
        <v>40</v>
      </c>
      <c r="S139">
        <v>6</v>
      </c>
      <c r="T139">
        <v>8</v>
      </c>
      <c r="U139">
        <v>87120</v>
      </c>
      <c r="W139">
        <v>0</v>
      </c>
      <c r="X139">
        <v>0</v>
      </c>
      <c r="Y139">
        <v>5400</v>
      </c>
      <c r="Z139" t="s">
        <v>172</v>
      </c>
      <c r="AA139" t="s">
        <v>169</v>
      </c>
      <c r="AB139" s="3" t="s">
        <v>43</v>
      </c>
      <c r="AC139" t="s">
        <v>109</v>
      </c>
      <c r="AD139" t="s">
        <v>109</v>
      </c>
      <c r="AE139" s="41" t="s">
        <v>173</v>
      </c>
      <c r="AF139" t="s">
        <v>171</v>
      </c>
    </row>
    <row r="140" spans="1:37">
      <c r="A140" s="1" t="s">
        <v>167</v>
      </c>
      <c r="B140" t="s">
        <v>122</v>
      </c>
      <c r="C140" s="3">
        <v>3927526</v>
      </c>
      <c r="D140" s="3">
        <v>729307</v>
      </c>
      <c r="E140" s="3">
        <v>168721</v>
      </c>
      <c r="F140" s="3">
        <v>12902</v>
      </c>
      <c r="G140" s="3">
        <v>183003</v>
      </c>
      <c r="H140" s="38">
        <v>0</v>
      </c>
      <c r="I140" s="38"/>
      <c r="J140" s="38">
        <v>0</v>
      </c>
      <c r="K140" s="38"/>
      <c r="L140" s="38"/>
      <c r="M140" s="3">
        <v>522720</v>
      </c>
      <c r="N140" s="3"/>
      <c r="O140" s="3">
        <v>722086</v>
      </c>
      <c r="P140" s="3">
        <v>72209</v>
      </c>
      <c r="Q140" s="3">
        <v>927328</v>
      </c>
      <c r="R140" t="s">
        <v>40</v>
      </c>
      <c r="S140">
        <v>6</v>
      </c>
      <c r="T140">
        <v>8</v>
      </c>
      <c r="U140">
        <v>87120</v>
      </c>
      <c r="W140">
        <v>0</v>
      </c>
      <c r="X140">
        <v>0</v>
      </c>
      <c r="Y140">
        <v>5400</v>
      </c>
      <c r="Z140" t="s">
        <v>172</v>
      </c>
      <c r="AA140" t="s">
        <v>169</v>
      </c>
      <c r="AB140" s="3" t="s">
        <v>43</v>
      </c>
      <c r="AC140" t="s">
        <v>109</v>
      </c>
      <c r="AD140" t="s">
        <v>109</v>
      </c>
      <c r="AE140" s="41" t="s">
        <v>173</v>
      </c>
      <c r="AF140" t="s">
        <v>171</v>
      </c>
    </row>
    <row r="141" spans="1:37">
      <c r="A141" s="1" t="s">
        <v>167</v>
      </c>
      <c r="B141" t="s">
        <v>83</v>
      </c>
      <c r="C141" s="3">
        <v>3030541</v>
      </c>
      <c r="D141" s="3">
        <v>703264</v>
      </c>
      <c r="E141" s="3">
        <v>173281</v>
      </c>
      <c r="F141" s="3">
        <v>13250</v>
      </c>
      <c r="G141" s="3">
        <v>142651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t="s">
        <v>40</v>
      </c>
      <c r="S141">
        <v>6</v>
      </c>
      <c r="T141">
        <v>8</v>
      </c>
      <c r="U141">
        <v>87120</v>
      </c>
      <c r="W141">
        <v>0</v>
      </c>
      <c r="X141">
        <v>0</v>
      </c>
      <c r="Y141">
        <v>5400</v>
      </c>
      <c r="Z141" t="s">
        <v>172</v>
      </c>
      <c r="AA141" t="s">
        <v>169</v>
      </c>
      <c r="AB141" s="3" t="s">
        <v>43</v>
      </c>
      <c r="AC141" t="s">
        <v>109</v>
      </c>
      <c r="AD141" t="s">
        <v>109</v>
      </c>
      <c r="AE141" s="41" t="s">
        <v>173</v>
      </c>
      <c r="AF141" t="s">
        <v>171</v>
      </c>
    </row>
    <row r="142" spans="1:37">
      <c r="A142" s="1" t="s">
        <v>167</v>
      </c>
      <c r="B142" t="s">
        <v>84</v>
      </c>
      <c r="C142" s="3">
        <v>3905597</v>
      </c>
      <c r="D142" s="3">
        <v>707158</v>
      </c>
      <c r="E142" s="3">
        <v>173281</v>
      </c>
      <c r="F142" s="3">
        <v>13250</v>
      </c>
      <c r="G142" s="3">
        <v>146507</v>
      </c>
      <c r="R142" t="s">
        <v>40</v>
      </c>
      <c r="S142">
        <v>6</v>
      </c>
      <c r="T142">
        <v>8</v>
      </c>
      <c r="U142">
        <v>87120</v>
      </c>
      <c r="W142">
        <v>0</v>
      </c>
      <c r="X142">
        <v>0</v>
      </c>
      <c r="Y142">
        <v>5400</v>
      </c>
      <c r="Z142" t="s">
        <v>172</v>
      </c>
      <c r="AA142" t="s">
        <v>169</v>
      </c>
      <c r="AB142" s="3" t="s">
        <v>43</v>
      </c>
      <c r="AC142" t="s">
        <v>109</v>
      </c>
      <c r="AD142" t="s">
        <v>109</v>
      </c>
      <c r="AE142" s="41" t="s">
        <v>173</v>
      </c>
      <c r="AF142" t="s">
        <v>171</v>
      </c>
    </row>
    <row r="143" spans="1:37">
      <c r="A143" s="1" t="s">
        <v>167</v>
      </c>
      <c r="B143" s="43" t="s">
        <v>85</v>
      </c>
      <c r="C143" s="44"/>
      <c r="D143" s="44"/>
      <c r="E143" s="44"/>
      <c r="F143" s="44"/>
      <c r="G143" s="44"/>
      <c r="R143" t="s">
        <v>40</v>
      </c>
      <c r="S143">
        <v>6</v>
      </c>
      <c r="T143">
        <v>8</v>
      </c>
      <c r="U143">
        <v>87120</v>
      </c>
      <c r="W143">
        <v>0</v>
      </c>
      <c r="X143">
        <v>0</v>
      </c>
      <c r="Y143">
        <v>5400</v>
      </c>
      <c r="Z143" t="s">
        <v>172</v>
      </c>
      <c r="AA143" t="s">
        <v>169</v>
      </c>
      <c r="AB143" s="3" t="s">
        <v>43</v>
      </c>
      <c r="AC143" t="s">
        <v>109</v>
      </c>
      <c r="AD143" t="s">
        <v>109</v>
      </c>
      <c r="AE143" s="41" t="s">
        <v>173</v>
      </c>
      <c r="AF143" t="s">
        <v>171</v>
      </c>
    </row>
    <row r="144" spans="1:37">
      <c r="A144" s="1" t="s">
        <v>167</v>
      </c>
      <c r="B144" s="45" t="s">
        <v>86</v>
      </c>
      <c r="C144" s="46"/>
      <c r="D144" s="46"/>
      <c r="E144" s="46"/>
      <c r="F144" s="46"/>
      <c r="G144" s="46"/>
      <c r="R144" t="s">
        <v>40</v>
      </c>
      <c r="S144">
        <v>6</v>
      </c>
      <c r="T144">
        <v>8</v>
      </c>
      <c r="U144">
        <v>87120</v>
      </c>
      <c r="W144">
        <v>0</v>
      </c>
      <c r="X144">
        <v>0</v>
      </c>
      <c r="Y144">
        <v>5400</v>
      </c>
      <c r="Z144" t="s">
        <v>172</v>
      </c>
      <c r="AA144" t="s">
        <v>169</v>
      </c>
      <c r="AB144" s="3" t="s">
        <v>43</v>
      </c>
      <c r="AC144" t="s">
        <v>109</v>
      </c>
      <c r="AD144" t="s">
        <v>109</v>
      </c>
      <c r="AE144" s="41" t="s">
        <v>173</v>
      </c>
      <c r="AF144" t="s">
        <v>171</v>
      </c>
    </row>
    <row r="145" spans="1:37">
      <c r="A145" s="1" t="s">
        <v>167</v>
      </c>
      <c r="B145" t="s">
        <v>91</v>
      </c>
      <c r="C145" s="3">
        <v>3139342</v>
      </c>
      <c r="D145" s="3">
        <v>813153</v>
      </c>
      <c r="E145" s="3">
        <v>150655</v>
      </c>
      <c r="F145" s="3">
        <v>18295</v>
      </c>
      <c r="G145" s="3">
        <v>247711</v>
      </c>
      <c r="H145" s="3">
        <v>24500</v>
      </c>
      <c r="I145" s="3"/>
      <c r="J145" s="3"/>
      <c r="K145" s="3"/>
      <c r="L145" s="3"/>
      <c r="M145" s="3"/>
      <c r="N145" s="3"/>
      <c r="O145" s="3"/>
      <c r="P145" s="3"/>
      <c r="R145" t="s">
        <v>40</v>
      </c>
      <c r="S145">
        <v>6</v>
      </c>
      <c r="T145">
        <v>8</v>
      </c>
      <c r="U145">
        <v>87120</v>
      </c>
      <c r="W145">
        <v>0</v>
      </c>
      <c r="X145">
        <v>0</v>
      </c>
      <c r="Y145">
        <v>5400</v>
      </c>
      <c r="Z145" t="s">
        <v>172</v>
      </c>
      <c r="AA145" t="s">
        <v>169</v>
      </c>
      <c r="AB145" s="3" t="s">
        <v>43</v>
      </c>
      <c r="AC145" t="s">
        <v>109</v>
      </c>
      <c r="AD145" t="s">
        <v>109</v>
      </c>
      <c r="AE145" s="41" t="s">
        <v>173</v>
      </c>
      <c r="AF145" t="s">
        <v>171</v>
      </c>
    </row>
    <row r="146" spans="1:37">
      <c r="A146" s="1" t="s">
        <v>167</v>
      </c>
      <c r="B146" s="36" t="s">
        <v>97</v>
      </c>
      <c r="C146" s="3">
        <v>4104917</v>
      </c>
      <c r="D146" s="3">
        <v>625672</v>
      </c>
      <c r="E146" s="3">
        <v>152571</v>
      </c>
      <c r="F146" s="3">
        <v>15273</v>
      </c>
      <c r="G146" s="3">
        <v>117608</v>
      </c>
      <c r="H146" s="3">
        <v>0</v>
      </c>
      <c r="I146" s="3"/>
      <c r="J146" s="3">
        <v>0</v>
      </c>
      <c r="K146" s="3"/>
      <c r="L146" s="3"/>
      <c r="M146" s="3">
        <v>522720</v>
      </c>
      <c r="N146" s="3">
        <v>2440000</v>
      </c>
      <c r="O146" s="3">
        <v>619477</v>
      </c>
      <c r="P146" s="3">
        <v>520924</v>
      </c>
      <c r="Q146" s="3">
        <v>98553</v>
      </c>
      <c r="R146" t="s">
        <v>40</v>
      </c>
      <c r="S146">
        <v>6</v>
      </c>
      <c r="T146">
        <v>8</v>
      </c>
      <c r="U146">
        <v>87120</v>
      </c>
      <c r="V146">
        <v>6</v>
      </c>
      <c r="W146">
        <v>0</v>
      </c>
      <c r="X146">
        <v>0</v>
      </c>
      <c r="Y146">
        <v>5400</v>
      </c>
      <c r="Z146" t="s">
        <v>172</v>
      </c>
      <c r="AA146" t="s">
        <v>169</v>
      </c>
      <c r="AB146" s="3" t="s">
        <v>43</v>
      </c>
      <c r="AC146" t="s">
        <v>109</v>
      </c>
      <c r="AD146" t="s">
        <v>109</v>
      </c>
      <c r="AE146" s="41" t="s">
        <v>174</v>
      </c>
      <c r="AF146" t="s">
        <v>171</v>
      </c>
    </row>
    <row r="147" spans="1:37">
      <c r="A147" s="1"/>
      <c r="J147" s="1"/>
      <c r="K147" s="1"/>
      <c r="L147" s="1"/>
    </row>
    <row r="148" spans="1:37">
      <c r="A148" s="1"/>
      <c r="B148" s="1"/>
      <c r="C148" s="1"/>
      <c r="D148" s="1"/>
      <c r="E148" s="1"/>
      <c r="F148" s="1"/>
      <c r="G148" s="1"/>
      <c r="AB148" s="3"/>
      <c r="AE148" s="41"/>
    </row>
    <row r="149" spans="1:37" s="51" customFormat="1">
      <c r="A149" s="51" t="s">
        <v>175</v>
      </c>
      <c r="B149" s="50" t="s">
        <v>113</v>
      </c>
      <c r="E149" s="34">
        <v>137535</v>
      </c>
      <c r="F149" s="51">
        <v>9647</v>
      </c>
      <c r="G149" s="51">
        <v>102038</v>
      </c>
      <c r="H149" s="51">
        <v>16087</v>
      </c>
    </row>
    <row r="150" spans="1:37" s="8" customFormat="1">
      <c r="A150" s="6"/>
      <c r="C150" s="7"/>
      <c r="D150" s="7"/>
      <c r="E150" s="7"/>
      <c r="F150" s="7"/>
      <c r="U150" s="7"/>
      <c r="V150" s="7"/>
      <c r="W150" s="7"/>
      <c r="X150" s="7"/>
      <c r="Y150" s="7"/>
      <c r="Z150" s="7"/>
      <c r="AD150" s="7"/>
    </row>
    <row r="151" spans="1:37">
      <c r="A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U151" s="3"/>
      <c r="V151" s="3"/>
      <c r="W151" s="3"/>
      <c r="X151" s="3"/>
      <c r="Y151" s="3"/>
      <c r="Z151" s="3"/>
      <c r="AB151" s="3"/>
      <c r="AC151" s="3"/>
      <c r="AD151" s="3"/>
    </row>
    <row r="152" spans="1:37" ht="15.95">
      <c r="A152" s="1" t="s">
        <v>176</v>
      </c>
      <c r="B152" t="s">
        <v>121</v>
      </c>
      <c r="D152" s="3">
        <v>902636</v>
      </c>
      <c r="E152" s="3">
        <v>136557</v>
      </c>
      <c r="F152" s="3">
        <v>34139</v>
      </c>
      <c r="G152" s="3"/>
      <c r="H152" s="3"/>
      <c r="I152" s="3"/>
      <c r="J152" s="3"/>
      <c r="K152" s="3"/>
      <c r="L152" s="3"/>
      <c r="M152" s="3">
        <v>1000000</v>
      </c>
      <c r="N152" s="3"/>
      <c r="O152" s="3"/>
      <c r="P152" s="3"/>
      <c r="Q152" s="3"/>
      <c r="R152" t="s">
        <v>40</v>
      </c>
      <c r="S152">
        <v>6</v>
      </c>
      <c r="T152">
        <v>12</v>
      </c>
      <c r="U152" s="3">
        <v>174240</v>
      </c>
      <c r="V152" s="3">
        <f t="shared" ref="V152:V160" si="0">M152/U152</f>
        <v>5.7392102846648303</v>
      </c>
      <c r="W152" s="3">
        <v>0</v>
      </c>
      <c r="X152" s="3" t="s">
        <v>177</v>
      </c>
      <c r="Y152" s="3">
        <v>6000</v>
      </c>
      <c r="Z152" s="3" t="s">
        <v>178</v>
      </c>
      <c r="AA152" t="s">
        <v>169</v>
      </c>
      <c r="AB152" s="3" t="s">
        <v>179</v>
      </c>
      <c r="AC152" s="3" t="s">
        <v>109</v>
      </c>
      <c r="AD152" s="3" t="s">
        <v>55</v>
      </c>
      <c r="AE152" t="s">
        <v>180</v>
      </c>
      <c r="AF152" s="2" t="s">
        <v>181</v>
      </c>
      <c r="AH152">
        <v>4775</v>
      </c>
      <c r="AI152">
        <v>54810</v>
      </c>
      <c r="AJ152">
        <v>1552</v>
      </c>
      <c r="AK152">
        <v>38</v>
      </c>
    </row>
    <row r="153" spans="1:37" ht="32.1">
      <c r="A153" s="1" t="s">
        <v>176</v>
      </c>
      <c r="B153" t="s">
        <v>182</v>
      </c>
      <c r="C153" s="3">
        <v>2956223</v>
      </c>
      <c r="D153" s="3">
        <v>873997</v>
      </c>
      <c r="E153" s="3">
        <v>139058</v>
      </c>
      <c r="F153" s="3">
        <v>17333</v>
      </c>
      <c r="G153" s="3">
        <v>154307</v>
      </c>
      <c r="H153" s="3">
        <v>0</v>
      </c>
      <c r="I153" s="3"/>
      <c r="J153" s="3">
        <v>0</v>
      </c>
      <c r="K153" s="3"/>
      <c r="L153" s="3"/>
      <c r="M153" s="3">
        <v>1000000</v>
      </c>
      <c r="N153" s="3"/>
      <c r="O153" s="3">
        <v>865343</v>
      </c>
      <c r="P153" s="3">
        <v>62534</v>
      </c>
      <c r="Q153" s="3">
        <v>1117533</v>
      </c>
      <c r="R153" t="s">
        <v>40</v>
      </c>
      <c r="S153">
        <v>6</v>
      </c>
      <c r="T153">
        <v>12</v>
      </c>
      <c r="U153" s="3">
        <v>174240</v>
      </c>
      <c r="V153" s="3">
        <f t="shared" si="0"/>
        <v>5.7392102846648303</v>
      </c>
      <c r="W153" s="3">
        <v>0</v>
      </c>
      <c r="X153" s="3" t="s">
        <v>177</v>
      </c>
      <c r="Y153" s="3">
        <v>6000</v>
      </c>
      <c r="Z153" s="3" t="s">
        <v>178</v>
      </c>
      <c r="AA153" t="s">
        <v>169</v>
      </c>
      <c r="AB153" s="3" t="s">
        <v>179</v>
      </c>
      <c r="AC153" s="3" t="s">
        <v>109</v>
      </c>
      <c r="AD153" s="3" t="s">
        <v>55</v>
      </c>
      <c r="AE153" s="2" t="s">
        <v>180</v>
      </c>
    </row>
    <row r="154" spans="1:37">
      <c r="A154" s="1" t="s">
        <v>176</v>
      </c>
      <c r="B154" t="s">
        <v>183</v>
      </c>
      <c r="C154" s="3">
        <v>2770517</v>
      </c>
      <c r="D154" s="3">
        <v>686433</v>
      </c>
      <c r="E154" s="3">
        <v>82255</v>
      </c>
      <c r="F154" s="3">
        <v>11933</v>
      </c>
      <c r="G154" s="3">
        <v>154307</v>
      </c>
      <c r="H154" s="3">
        <v>0</v>
      </c>
      <c r="I154" s="3"/>
      <c r="J154" s="3">
        <v>0</v>
      </c>
      <c r="K154" s="3"/>
      <c r="L154" s="3"/>
      <c r="M154" s="3">
        <v>1000000</v>
      </c>
      <c r="N154" s="3"/>
      <c r="O154" s="3">
        <v>679636.62</v>
      </c>
      <c r="P154" s="3">
        <v>43963.661999999997</v>
      </c>
      <c r="Q154" s="3">
        <v>883542.14119999995</v>
      </c>
      <c r="R154" t="s">
        <v>40</v>
      </c>
      <c r="S154">
        <v>6</v>
      </c>
      <c r="T154">
        <v>12</v>
      </c>
      <c r="U154" s="3">
        <v>174240</v>
      </c>
      <c r="V154" s="3">
        <f t="shared" si="0"/>
        <v>5.7392102846648303</v>
      </c>
      <c r="W154" s="3">
        <v>0</v>
      </c>
      <c r="X154" s="3" t="s">
        <v>177</v>
      </c>
      <c r="Y154" s="3">
        <v>6000</v>
      </c>
      <c r="Z154" s="3" t="s">
        <v>178</v>
      </c>
      <c r="AA154" t="s">
        <v>169</v>
      </c>
      <c r="AB154" s="3" t="s">
        <v>179</v>
      </c>
      <c r="AC154" s="3" t="s">
        <v>109</v>
      </c>
      <c r="AD154" s="3" t="s">
        <v>55</v>
      </c>
      <c r="AE154" t="s">
        <v>180</v>
      </c>
    </row>
    <row r="155" spans="1:37">
      <c r="A155" s="1" t="s">
        <v>176</v>
      </c>
      <c r="B155" t="s">
        <v>183</v>
      </c>
      <c r="C155" s="3">
        <v>2788595</v>
      </c>
      <c r="D155" s="3">
        <v>704692</v>
      </c>
      <c r="E155" s="3">
        <v>86418</v>
      </c>
      <c r="F155" s="3">
        <v>11933</v>
      </c>
      <c r="G155" s="3">
        <v>160354</v>
      </c>
      <c r="H155" s="3"/>
      <c r="I155" s="3"/>
      <c r="J155" s="3"/>
      <c r="K155" s="3"/>
      <c r="L155" s="3"/>
      <c r="M155" s="3">
        <v>1000000</v>
      </c>
      <c r="N155" s="3"/>
      <c r="O155" s="3"/>
      <c r="P155" s="3"/>
      <c r="Q155" s="3"/>
      <c r="R155" t="s">
        <v>40</v>
      </c>
      <c r="S155">
        <v>6</v>
      </c>
      <c r="T155">
        <v>12</v>
      </c>
      <c r="U155" s="3">
        <v>174240</v>
      </c>
      <c r="V155" s="3">
        <f t="shared" si="0"/>
        <v>5.7392102846648303</v>
      </c>
      <c r="W155" s="3">
        <v>0</v>
      </c>
      <c r="X155" s="3" t="s">
        <v>177</v>
      </c>
      <c r="Y155" s="3">
        <v>6000</v>
      </c>
      <c r="Z155" s="3" t="s">
        <v>178</v>
      </c>
      <c r="AA155" t="s">
        <v>169</v>
      </c>
      <c r="AB155" s="3" t="s">
        <v>179</v>
      </c>
      <c r="AC155" s="3" t="s">
        <v>109</v>
      </c>
      <c r="AD155" s="3" t="s">
        <v>55</v>
      </c>
      <c r="AE155" t="s">
        <v>180</v>
      </c>
    </row>
    <row r="156" spans="1:37">
      <c r="A156" s="1" t="s">
        <v>176</v>
      </c>
      <c r="B156" t="s">
        <v>183</v>
      </c>
      <c r="C156" s="3">
        <v>2799187</v>
      </c>
      <c r="D156" s="3">
        <v>715390</v>
      </c>
      <c r="E156" s="3">
        <v>90083</v>
      </c>
      <c r="F156" s="3">
        <v>11933</v>
      </c>
      <c r="G156" s="3">
        <v>160354</v>
      </c>
      <c r="H156" s="3"/>
      <c r="I156" s="3"/>
      <c r="J156" s="3"/>
      <c r="K156" s="3"/>
      <c r="L156" s="3"/>
      <c r="M156" s="3">
        <v>1000000</v>
      </c>
      <c r="N156" s="3"/>
      <c r="O156" s="3"/>
      <c r="P156" s="3"/>
      <c r="Q156" s="3"/>
      <c r="R156" t="s">
        <v>40</v>
      </c>
      <c r="S156">
        <v>6</v>
      </c>
      <c r="T156">
        <v>12</v>
      </c>
      <c r="U156" s="3">
        <v>174240</v>
      </c>
      <c r="V156" s="3">
        <f t="shared" si="0"/>
        <v>5.7392102846648303</v>
      </c>
      <c r="W156" s="3">
        <v>0</v>
      </c>
      <c r="X156" s="3" t="s">
        <v>177</v>
      </c>
      <c r="Y156" s="3">
        <v>6000</v>
      </c>
      <c r="Z156" s="3" t="s">
        <v>178</v>
      </c>
      <c r="AA156" t="s">
        <v>169</v>
      </c>
      <c r="AB156" s="3" t="s">
        <v>179</v>
      </c>
      <c r="AC156" s="3" t="s">
        <v>109</v>
      </c>
      <c r="AD156" s="3" t="s">
        <v>55</v>
      </c>
      <c r="AE156" t="s">
        <v>180</v>
      </c>
    </row>
    <row r="157" spans="1:37">
      <c r="A157" s="1" t="s">
        <v>176</v>
      </c>
      <c r="B157" t="s">
        <v>183</v>
      </c>
      <c r="C157" s="3">
        <v>2807261</v>
      </c>
      <c r="D157" s="3">
        <v>723545</v>
      </c>
      <c r="E157" s="3">
        <v>91044</v>
      </c>
      <c r="F157" s="3"/>
      <c r="G157" s="3">
        <v>160354</v>
      </c>
      <c r="H157" s="3"/>
      <c r="I157" s="3"/>
      <c r="J157" s="3"/>
      <c r="K157" s="3"/>
      <c r="L157" s="3"/>
      <c r="M157" s="3">
        <v>1000000</v>
      </c>
      <c r="N157" s="3"/>
      <c r="O157" s="3"/>
      <c r="P157" s="3"/>
      <c r="Q157" s="3"/>
      <c r="R157" t="s">
        <v>40</v>
      </c>
      <c r="S157">
        <v>6</v>
      </c>
      <c r="T157">
        <v>12</v>
      </c>
      <c r="U157" s="3">
        <v>174240</v>
      </c>
      <c r="V157" s="3">
        <f t="shared" si="0"/>
        <v>5.7392102846648303</v>
      </c>
      <c r="W157" s="3">
        <v>0</v>
      </c>
      <c r="X157" s="3" t="s">
        <v>177</v>
      </c>
      <c r="Y157" s="3">
        <v>6000</v>
      </c>
      <c r="Z157" s="3" t="s">
        <v>178</v>
      </c>
      <c r="AA157" t="s">
        <v>169</v>
      </c>
      <c r="AB157" s="3" t="s">
        <v>179</v>
      </c>
      <c r="AC157" s="3" t="s">
        <v>109</v>
      </c>
      <c r="AD157" s="3" t="s">
        <v>55</v>
      </c>
      <c r="AE157" t="s">
        <v>180</v>
      </c>
    </row>
    <row r="158" spans="1:37">
      <c r="A158" s="1" t="s">
        <v>176</v>
      </c>
      <c r="B158" t="s">
        <v>183</v>
      </c>
      <c r="C158" s="3"/>
      <c r="D158" s="3"/>
      <c r="E158" s="3">
        <v>92877</v>
      </c>
      <c r="F158" s="3"/>
      <c r="G158" s="3"/>
      <c r="H158" s="3"/>
      <c r="I158" s="3"/>
      <c r="J158" s="3"/>
      <c r="K158" s="3"/>
      <c r="L158" s="3"/>
      <c r="M158" s="3">
        <v>1000000</v>
      </c>
      <c r="N158" s="3"/>
      <c r="O158" s="3"/>
      <c r="P158" s="3"/>
      <c r="Q158" s="3"/>
      <c r="R158" t="s">
        <v>40</v>
      </c>
      <c r="S158">
        <v>6</v>
      </c>
      <c r="T158">
        <v>12</v>
      </c>
      <c r="U158" s="3">
        <v>174240</v>
      </c>
      <c r="V158" s="3">
        <f t="shared" si="0"/>
        <v>5.7392102846648303</v>
      </c>
      <c r="W158" s="3">
        <v>0</v>
      </c>
      <c r="X158" s="3" t="s">
        <v>177</v>
      </c>
      <c r="Y158" s="3">
        <v>6000</v>
      </c>
      <c r="Z158" s="3" t="s">
        <v>178</v>
      </c>
      <c r="AA158" t="s">
        <v>169</v>
      </c>
      <c r="AB158" s="3" t="s">
        <v>179</v>
      </c>
      <c r="AC158" s="3" t="s">
        <v>109</v>
      </c>
      <c r="AD158" s="3" t="s">
        <v>55</v>
      </c>
      <c r="AE158" t="s">
        <v>180</v>
      </c>
    </row>
    <row r="159" spans="1:37">
      <c r="A159" s="1" t="s">
        <v>176</v>
      </c>
      <c r="B159" t="s">
        <v>183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>
        <v>1000000</v>
      </c>
      <c r="N159" s="3"/>
      <c r="O159" s="3"/>
      <c r="P159" s="3"/>
      <c r="Q159" s="3"/>
      <c r="R159" t="s">
        <v>40</v>
      </c>
      <c r="S159">
        <v>6</v>
      </c>
      <c r="T159">
        <v>12</v>
      </c>
      <c r="U159" s="3">
        <v>174240</v>
      </c>
      <c r="V159" s="3">
        <f t="shared" si="0"/>
        <v>5.7392102846648303</v>
      </c>
      <c r="W159" s="3">
        <v>0</v>
      </c>
      <c r="X159" s="3" t="s">
        <v>177</v>
      </c>
      <c r="Y159" s="3">
        <v>6000</v>
      </c>
      <c r="Z159" s="3" t="s">
        <v>178</v>
      </c>
      <c r="AA159" t="s">
        <v>169</v>
      </c>
      <c r="AB159" s="3" t="s">
        <v>179</v>
      </c>
      <c r="AC159" s="3" t="s">
        <v>109</v>
      </c>
      <c r="AD159" s="3" t="s">
        <v>55</v>
      </c>
      <c r="AE159" t="s">
        <v>180</v>
      </c>
    </row>
    <row r="160" spans="1:37" s="33" customFormat="1">
      <c r="A160" s="30" t="s">
        <v>176</v>
      </c>
      <c r="B160" s="33" t="s">
        <v>72</v>
      </c>
      <c r="C160" s="31">
        <v>2807261</v>
      </c>
      <c r="D160" s="31">
        <v>723545</v>
      </c>
      <c r="E160" s="32">
        <v>92877</v>
      </c>
      <c r="F160" s="32">
        <v>11933</v>
      </c>
      <c r="G160" s="32">
        <v>160354</v>
      </c>
      <c r="H160" s="31">
        <v>0</v>
      </c>
      <c r="I160" s="31"/>
      <c r="J160" s="31">
        <v>0</v>
      </c>
      <c r="K160" s="31"/>
      <c r="L160" s="31"/>
      <c r="M160" s="31">
        <v>1000000</v>
      </c>
      <c r="N160" s="31"/>
      <c r="O160" s="31">
        <v>716381</v>
      </c>
      <c r="P160" s="31">
        <v>47638</v>
      </c>
      <c r="Q160" s="31">
        <v>929840</v>
      </c>
      <c r="R160" s="31" t="s">
        <v>40</v>
      </c>
      <c r="S160" s="33">
        <v>6</v>
      </c>
      <c r="T160" s="33">
        <v>12</v>
      </c>
      <c r="U160" s="31">
        <v>174240</v>
      </c>
      <c r="V160" s="31">
        <f t="shared" si="0"/>
        <v>5.7392102846648303</v>
      </c>
      <c r="W160" s="31">
        <v>0</v>
      </c>
      <c r="X160" s="31" t="s">
        <v>177</v>
      </c>
      <c r="Y160" s="31">
        <v>6000</v>
      </c>
      <c r="Z160" s="31" t="s">
        <v>178</v>
      </c>
      <c r="AA160" s="33" t="s">
        <v>169</v>
      </c>
      <c r="AB160" s="31" t="s">
        <v>179</v>
      </c>
      <c r="AC160" s="31" t="s">
        <v>109</v>
      </c>
      <c r="AD160" s="31" t="s">
        <v>55</v>
      </c>
      <c r="AE160" s="33" t="s">
        <v>180</v>
      </c>
    </row>
    <row r="161" spans="1:32" s="33" customFormat="1">
      <c r="A161" s="30" t="s">
        <v>176</v>
      </c>
      <c r="B161" s="3" t="s">
        <v>73</v>
      </c>
      <c r="C161" s="31">
        <v>2473794</v>
      </c>
      <c r="D161" s="31">
        <v>386743</v>
      </c>
      <c r="E161" s="32">
        <v>92877</v>
      </c>
      <c r="F161" s="32">
        <v>11933</v>
      </c>
      <c r="G161" s="32">
        <v>47623</v>
      </c>
      <c r="H161" s="39">
        <v>0</v>
      </c>
      <c r="I161" s="39"/>
      <c r="J161" s="39">
        <v>0</v>
      </c>
      <c r="K161" s="39"/>
      <c r="L161" s="39"/>
      <c r="M161" s="39">
        <v>1000000</v>
      </c>
      <c r="N161" s="39"/>
      <c r="O161" s="39">
        <v>716381</v>
      </c>
      <c r="P161" s="39">
        <v>47638</v>
      </c>
      <c r="Q161" s="39">
        <v>929840</v>
      </c>
      <c r="R161" s="31" t="s">
        <v>40</v>
      </c>
      <c r="S161" s="40">
        <v>6</v>
      </c>
      <c r="T161" s="40">
        <v>12</v>
      </c>
      <c r="U161" s="39">
        <v>174240</v>
      </c>
      <c r="V161" s="39">
        <v>6</v>
      </c>
      <c r="W161" s="39">
        <v>0</v>
      </c>
      <c r="X161" s="39" t="s">
        <v>177</v>
      </c>
      <c r="Y161" s="39">
        <v>6000</v>
      </c>
      <c r="Z161" s="39" t="s">
        <v>178</v>
      </c>
      <c r="AA161" s="40" t="s">
        <v>169</v>
      </c>
      <c r="AB161" s="39" t="s">
        <v>179</v>
      </c>
      <c r="AC161" s="39" t="s">
        <v>109</v>
      </c>
      <c r="AD161" s="39" t="s">
        <v>55</v>
      </c>
      <c r="AE161" s="40" t="s">
        <v>180</v>
      </c>
    </row>
    <row r="162" spans="1:32" s="33" customFormat="1">
      <c r="A162" s="30" t="s">
        <v>176</v>
      </c>
      <c r="B162" s="3" t="s">
        <v>74</v>
      </c>
      <c r="C162" s="31">
        <v>2664347</v>
      </c>
      <c r="D162" s="31">
        <v>579202</v>
      </c>
      <c r="E162" s="32">
        <v>92877</v>
      </c>
      <c r="F162" s="32">
        <v>11933</v>
      </c>
      <c r="G162" s="32">
        <v>112248</v>
      </c>
      <c r="H162" s="39">
        <v>0</v>
      </c>
      <c r="I162" s="39"/>
      <c r="J162" s="39">
        <v>0</v>
      </c>
      <c r="K162" s="39"/>
      <c r="L162" s="39"/>
      <c r="M162" s="39">
        <v>1000000</v>
      </c>
      <c r="N162" s="39"/>
      <c r="O162" s="39">
        <v>716381</v>
      </c>
      <c r="P162" s="39">
        <v>47638</v>
      </c>
      <c r="Q162" s="39">
        <v>929840</v>
      </c>
      <c r="R162" s="31" t="s">
        <v>40</v>
      </c>
      <c r="S162" s="40">
        <v>6</v>
      </c>
      <c r="T162" s="40">
        <v>12</v>
      </c>
      <c r="U162" s="39">
        <v>174240</v>
      </c>
      <c r="V162" s="39">
        <v>6</v>
      </c>
      <c r="W162" s="39">
        <v>0</v>
      </c>
      <c r="X162" s="39" t="s">
        <v>177</v>
      </c>
      <c r="Y162" s="39">
        <v>6000</v>
      </c>
      <c r="Z162" s="39" t="s">
        <v>178</v>
      </c>
      <c r="AA162" s="40" t="s">
        <v>169</v>
      </c>
      <c r="AB162" s="39" t="s">
        <v>179</v>
      </c>
      <c r="AC162" s="39" t="s">
        <v>109</v>
      </c>
      <c r="AD162" s="39" t="s">
        <v>55</v>
      </c>
      <c r="AE162" s="40" t="s">
        <v>180</v>
      </c>
    </row>
    <row r="163" spans="1:32" s="33" customFormat="1">
      <c r="A163" s="1" t="s">
        <v>176</v>
      </c>
      <c r="B163" s="34" t="s">
        <v>75</v>
      </c>
      <c r="C163" s="34">
        <v>2692163</v>
      </c>
      <c r="D163" s="34">
        <v>607296</v>
      </c>
      <c r="E163" s="34">
        <v>106326</v>
      </c>
      <c r="F163" s="34">
        <v>12151</v>
      </c>
      <c r="G163" s="34">
        <v>112248</v>
      </c>
      <c r="H163" s="39">
        <v>0</v>
      </c>
      <c r="I163" s="39"/>
      <c r="J163" s="39">
        <v>0</v>
      </c>
      <c r="K163" s="39"/>
      <c r="L163" s="39"/>
      <c r="M163" s="39">
        <v>1000000</v>
      </c>
      <c r="N163" s="39"/>
      <c r="O163" s="39">
        <v>716381</v>
      </c>
      <c r="P163" s="39">
        <v>47638</v>
      </c>
      <c r="Q163" s="39">
        <v>929840</v>
      </c>
      <c r="R163" s="31" t="s">
        <v>40</v>
      </c>
      <c r="S163" s="40">
        <v>6</v>
      </c>
      <c r="T163" s="40">
        <v>12</v>
      </c>
      <c r="U163" s="39">
        <v>174240</v>
      </c>
      <c r="V163" s="39">
        <v>6</v>
      </c>
      <c r="W163" s="39">
        <v>0</v>
      </c>
      <c r="X163" s="39" t="s">
        <v>177</v>
      </c>
      <c r="Y163" s="39">
        <v>6000</v>
      </c>
      <c r="Z163" s="39" t="s">
        <v>178</v>
      </c>
      <c r="AA163" s="40" t="s">
        <v>169</v>
      </c>
      <c r="AB163" s="39" t="s">
        <v>179</v>
      </c>
      <c r="AC163" s="39" t="s">
        <v>109</v>
      </c>
      <c r="AD163" s="39" t="s">
        <v>55</v>
      </c>
      <c r="AE163" s="40" t="s">
        <v>180</v>
      </c>
    </row>
    <row r="164" spans="1:32" s="33" customFormat="1">
      <c r="A164" s="1" t="s">
        <v>176</v>
      </c>
      <c r="B164" s="38" t="s">
        <v>76</v>
      </c>
      <c r="C164" s="38">
        <v>2452164</v>
      </c>
      <c r="D164" s="38">
        <v>364896</v>
      </c>
      <c r="E164" s="38">
        <v>106326</v>
      </c>
      <c r="F164" s="38">
        <v>12151</v>
      </c>
      <c r="G164" s="38">
        <v>112248</v>
      </c>
      <c r="H164" s="39">
        <v>0</v>
      </c>
      <c r="I164" s="39"/>
      <c r="J164" s="39">
        <v>0</v>
      </c>
      <c r="K164" s="39"/>
      <c r="L164" s="39"/>
      <c r="M164" s="39">
        <v>1000000</v>
      </c>
      <c r="N164" s="39"/>
      <c r="O164" s="39">
        <v>716381</v>
      </c>
      <c r="P164" s="39">
        <v>47638</v>
      </c>
      <c r="Q164" s="39">
        <v>929840</v>
      </c>
      <c r="R164" s="31" t="s">
        <v>40</v>
      </c>
      <c r="S164" s="40">
        <v>6</v>
      </c>
      <c r="T164" s="40">
        <v>12</v>
      </c>
      <c r="U164" s="39">
        <v>174240</v>
      </c>
      <c r="V164" s="39">
        <v>6</v>
      </c>
      <c r="W164" s="39">
        <v>0</v>
      </c>
      <c r="X164" s="39" t="s">
        <v>177</v>
      </c>
      <c r="Y164" s="39">
        <v>6000</v>
      </c>
      <c r="Z164" s="39" t="s">
        <v>178</v>
      </c>
      <c r="AA164" s="40" t="s">
        <v>169</v>
      </c>
      <c r="AB164" s="39" t="s">
        <v>179</v>
      </c>
      <c r="AC164" s="39" t="s">
        <v>109</v>
      </c>
      <c r="AD164" s="39" t="s">
        <v>55</v>
      </c>
      <c r="AE164" s="40" t="s">
        <v>180</v>
      </c>
    </row>
    <row r="165" spans="1:32" s="33" customFormat="1">
      <c r="A165" s="1" t="s">
        <v>176</v>
      </c>
      <c r="B165" s="38" t="s">
        <v>78</v>
      </c>
      <c r="C165" s="38">
        <v>5095986</v>
      </c>
      <c r="D165" s="38">
        <v>611269</v>
      </c>
      <c r="E165" s="38">
        <v>107894</v>
      </c>
      <c r="F165" s="38">
        <v>11904</v>
      </c>
      <c r="G165" s="38">
        <v>113589</v>
      </c>
      <c r="H165" s="39">
        <v>0</v>
      </c>
      <c r="I165" s="39"/>
      <c r="J165" s="39">
        <v>0</v>
      </c>
      <c r="K165" s="39"/>
      <c r="L165" s="39"/>
      <c r="M165" s="39">
        <v>1045440</v>
      </c>
      <c r="N165" s="39"/>
      <c r="O165" s="39"/>
      <c r="P165" s="39"/>
      <c r="Q165" s="39"/>
      <c r="R165" s="31" t="s">
        <v>40</v>
      </c>
      <c r="S165">
        <v>6</v>
      </c>
      <c r="T165">
        <v>12</v>
      </c>
      <c r="U165">
        <v>174240</v>
      </c>
      <c r="V165">
        <v>6</v>
      </c>
      <c r="W165">
        <v>0</v>
      </c>
      <c r="X165" t="s">
        <v>177</v>
      </c>
      <c r="Y165">
        <v>6000</v>
      </c>
      <c r="Z165" t="s">
        <v>178</v>
      </c>
      <c r="AA165" t="s">
        <v>169</v>
      </c>
      <c r="AB165" s="3" t="s">
        <v>179</v>
      </c>
      <c r="AC165" t="s">
        <v>109</v>
      </c>
      <c r="AD165" t="s">
        <v>55</v>
      </c>
      <c r="AE165" s="41" t="s">
        <v>180</v>
      </c>
      <c r="AF165"/>
    </row>
    <row r="166" spans="1:32" s="33" customFormat="1">
      <c r="A166" s="24" t="s">
        <v>176</v>
      </c>
      <c r="B166" s="31" t="s">
        <v>184</v>
      </c>
      <c r="C166" s="31">
        <v>6696097</v>
      </c>
      <c r="D166" s="31">
        <v>611269</v>
      </c>
      <c r="E166" s="31">
        <v>107940</v>
      </c>
      <c r="F166" s="31">
        <v>11901</v>
      </c>
      <c r="G166" s="31">
        <v>113615</v>
      </c>
      <c r="H166" s="39">
        <v>0</v>
      </c>
      <c r="I166" s="39"/>
      <c r="J166" s="39">
        <v>0</v>
      </c>
      <c r="K166" s="39"/>
      <c r="L166" s="39"/>
      <c r="M166" s="39">
        <v>1045440</v>
      </c>
      <c r="N166" s="39"/>
      <c r="O166" s="39">
        <v>605217</v>
      </c>
      <c r="P166" s="39">
        <v>36522</v>
      </c>
      <c r="Q166" s="39"/>
      <c r="R166" s="31" t="s">
        <v>40</v>
      </c>
      <c r="S166">
        <v>6</v>
      </c>
      <c r="T166">
        <v>12</v>
      </c>
      <c r="U166">
        <v>174240</v>
      </c>
      <c r="V166">
        <v>6</v>
      </c>
      <c r="W166">
        <v>0</v>
      </c>
      <c r="X166" t="s">
        <v>177</v>
      </c>
      <c r="Y166">
        <v>6000</v>
      </c>
      <c r="Z166" t="s">
        <v>178</v>
      </c>
      <c r="AA166" t="s">
        <v>169</v>
      </c>
      <c r="AB166" s="3" t="s">
        <v>179</v>
      </c>
      <c r="AC166" t="s">
        <v>109</v>
      </c>
      <c r="AD166" t="s">
        <v>55</v>
      </c>
      <c r="AE166" s="41" t="s">
        <v>180</v>
      </c>
      <c r="AF166"/>
    </row>
    <row r="167" spans="1:32">
      <c r="A167" s="24" t="s">
        <v>176</v>
      </c>
      <c r="B167" t="s">
        <v>82</v>
      </c>
      <c r="C167" s="3">
        <v>5209431</v>
      </c>
      <c r="D167" s="3">
        <v>725737</v>
      </c>
      <c r="E167" s="3">
        <v>99844</v>
      </c>
      <c r="F167" s="3">
        <v>11009</v>
      </c>
      <c r="G167" s="3">
        <v>146076</v>
      </c>
      <c r="H167" s="3">
        <v>0</v>
      </c>
      <c r="I167" s="3"/>
      <c r="J167" s="3">
        <v>0</v>
      </c>
      <c r="K167" s="3"/>
      <c r="L167" s="3"/>
      <c r="M167" s="39">
        <v>1045440</v>
      </c>
      <c r="N167" s="39"/>
      <c r="O167" s="3">
        <v>718551</v>
      </c>
      <c r="P167" s="3">
        <v>47855</v>
      </c>
      <c r="Q167" s="3">
        <v>938874</v>
      </c>
      <c r="R167" t="s">
        <v>185</v>
      </c>
      <c r="S167">
        <v>6</v>
      </c>
      <c r="T167">
        <v>12</v>
      </c>
      <c r="U167">
        <v>174240</v>
      </c>
      <c r="V167">
        <v>6</v>
      </c>
      <c r="W167">
        <v>0</v>
      </c>
      <c r="X167" t="s">
        <v>177</v>
      </c>
      <c r="Y167">
        <v>6000</v>
      </c>
      <c r="Z167" t="s">
        <v>178</v>
      </c>
      <c r="AA167" t="s">
        <v>169</v>
      </c>
      <c r="AB167" s="3" t="s">
        <v>179</v>
      </c>
      <c r="AC167" t="s">
        <v>109</v>
      </c>
      <c r="AD167" t="s">
        <v>55</v>
      </c>
      <c r="AE167" s="41" t="s">
        <v>180</v>
      </c>
    </row>
    <row r="168" spans="1:32">
      <c r="A168" s="24" t="s">
        <v>176</v>
      </c>
      <c r="B168" t="s">
        <v>83</v>
      </c>
      <c r="C168" s="3">
        <v>5180485</v>
      </c>
      <c r="D168" s="3">
        <v>696501</v>
      </c>
      <c r="E168" s="3">
        <v>102543</v>
      </c>
      <c r="F168" s="3">
        <v>11306</v>
      </c>
      <c r="G168" s="3">
        <v>108145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t="s">
        <v>40</v>
      </c>
      <c r="S168">
        <v>6</v>
      </c>
      <c r="T168">
        <v>12</v>
      </c>
      <c r="U168">
        <v>174240</v>
      </c>
      <c r="V168">
        <v>6</v>
      </c>
      <c r="W168">
        <v>0</v>
      </c>
      <c r="X168" t="s">
        <v>177</v>
      </c>
      <c r="Y168">
        <v>6000</v>
      </c>
      <c r="Z168" t="s">
        <v>178</v>
      </c>
      <c r="AA168" t="s">
        <v>169</v>
      </c>
      <c r="AB168" s="3" t="s">
        <v>179</v>
      </c>
      <c r="AC168" t="s">
        <v>109</v>
      </c>
      <c r="AD168" t="s">
        <v>55</v>
      </c>
      <c r="AE168" s="41" t="s">
        <v>180</v>
      </c>
    </row>
    <row r="169" spans="1:32">
      <c r="A169" s="24" t="s">
        <v>176</v>
      </c>
      <c r="B169" t="s">
        <v>84</v>
      </c>
      <c r="C169" s="3">
        <v>5180485</v>
      </c>
      <c r="D169" s="3">
        <v>696501</v>
      </c>
      <c r="E169" s="3">
        <v>102543</v>
      </c>
      <c r="F169" s="3">
        <v>11306</v>
      </c>
      <c r="G169" s="3">
        <v>108145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t="s">
        <v>40</v>
      </c>
      <c r="S169">
        <v>6</v>
      </c>
      <c r="T169">
        <v>12</v>
      </c>
      <c r="U169">
        <v>174240</v>
      </c>
      <c r="V169">
        <v>6</v>
      </c>
      <c r="W169">
        <v>0</v>
      </c>
      <c r="X169" t="s">
        <v>177</v>
      </c>
      <c r="Y169">
        <v>6000</v>
      </c>
      <c r="Z169" t="s">
        <v>178</v>
      </c>
      <c r="AA169" t="s">
        <v>169</v>
      </c>
      <c r="AB169" s="3" t="s">
        <v>179</v>
      </c>
      <c r="AC169" t="s">
        <v>109</v>
      </c>
      <c r="AD169" t="s">
        <v>55</v>
      </c>
      <c r="AE169" s="41" t="s">
        <v>180</v>
      </c>
    </row>
    <row r="170" spans="1:32">
      <c r="A170" s="24" t="s">
        <v>176</v>
      </c>
      <c r="B170" s="43" t="s">
        <v>85</v>
      </c>
      <c r="C170" s="44">
        <v>5180485</v>
      </c>
      <c r="D170" s="44">
        <v>696501</v>
      </c>
      <c r="E170" s="44">
        <v>102543</v>
      </c>
      <c r="F170" s="44">
        <v>11306</v>
      </c>
      <c r="G170" s="44">
        <v>108145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t="s">
        <v>40</v>
      </c>
      <c r="S170">
        <v>6</v>
      </c>
      <c r="T170">
        <v>12</v>
      </c>
      <c r="U170">
        <v>174240</v>
      </c>
      <c r="V170">
        <v>6</v>
      </c>
      <c r="W170">
        <v>0</v>
      </c>
      <c r="X170" t="s">
        <v>177</v>
      </c>
      <c r="Y170">
        <v>6000</v>
      </c>
      <c r="Z170" t="s">
        <v>178</v>
      </c>
      <c r="AA170" t="s">
        <v>169</v>
      </c>
      <c r="AB170" s="3" t="s">
        <v>179</v>
      </c>
      <c r="AC170" t="s">
        <v>109</v>
      </c>
      <c r="AD170" t="s">
        <v>55</v>
      </c>
      <c r="AE170" s="41" t="s">
        <v>180</v>
      </c>
    </row>
    <row r="171" spans="1:32">
      <c r="A171" s="24" t="s">
        <v>176</v>
      </c>
      <c r="B171" s="45" t="s">
        <v>86</v>
      </c>
      <c r="C171" s="46"/>
      <c r="D171" s="46"/>
      <c r="E171" s="46"/>
      <c r="F171" s="46"/>
      <c r="G171" s="4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t="s">
        <v>40</v>
      </c>
      <c r="S171">
        <v>6</v>
      </c>
      <c r="T171">
        <v>12</v>
      </c>
      <c r="U171">
        <v>174240</v>
      </c>
      <c r="V171">
        <v>6</v>
      </c>
      <c r="W171">
        <v>0</v>
      </c>
      <c r="X171" t="s">
        <v>177</v>
      </c>
      <c r="Y171">
        <v>6000</v>
      </c>
      <c r="Z171" t="s">
        <v>178</v>
      </c>
      <c r="AA171" t="s">
        <v>169</v>
      </c>
      <c r="AB171" s="3" t="s">
        <v>179</v>
      </c>
      <c r="AC171" t="s">
        <v>109</v>
      </c>
      <c r="AD171" t="s">
        <v>55</v>
      </c>
      <c r="AE171" s="41" t="s">
        <v>180</v>
      </c>
    </row>
    <row r="172" spans="1:32">
      <c r="A172" s="24" t="s">
        <v>176</v>
      </c>
      <c r="B172" t="s">
        <v>91</v>
      </c>
      <c r="C172" s="3">
        <v>5269465</v>
      </c>
      <c r="D172" s="3">
        <v>786371</v>
      </c>
      <c r="E172" s="3">
        <v>94039</v>
      </c>
      <c r="F172" s="3">
        <v>12009</v>
      </c>
      <c r="G172" s="3">
        <v>193896</v>
      </c>
      <c r="H172" s="3"/>
      <c r="I172" s="3"/>
      <c r="J172" s="3"/>
      <c r="K172" s="3"/>
      <c r="L172" s="3"/>
      <c r="R172" t="s">
        <v>40</v>
      </c>
      <c r="S172">
        <v>6</v>
      </c>
      <c r="T172">
        <v>12</v>
      </c>
      <c r="U172">
        <v>174240</v>
      </c>
      <c r="V172">
        <v>6</v>
      </c>
      <c r="W172">
        <v>0</v>
      </c>
      <c r="X172" t="s">
        <v>177</v>
      </c>
      <c r="Y172">
        <v>6000</v>
      </c>
      <c r="Z172" t="s">
        <v>178</v>
      </c>
      <c r="AA172" t="s">
        <v>169</v>
      </c>
      <c r="AB172" s="3" t="s">
        <v>179</v>
      </c>
      <c r="AC172" t="s">
        <v>109</v>
      </c>
      <c r="AD172" t="s">
        <v>55</v>
      </c>
      <c r="AE172" s="41" t="s">
        <v>180</v>
      </c>
    </row>
    <row r="173" spans="1:32">
      <c r="A173" s="24" t="s">
        <v>176</v>
      </c>
      <c r="B173" s="3" t="s">
        <v>92</v>
      </c>
      <c r="C173" s="3">
        <v>8474367</v>
      </c>
      <c r="D173" s="3">
        <v>791322</v>
      </c>
      <c r="E173" s="3">
        <v>94039</v>
      </c>
      <c r="F173" s="3">
        <v>12009</v>
      </c>
      <c r="G173" s="3">
        <v>198798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t="s">
        <v>40</v>
      </c>
      <c r="S173">
        <v>6</v>
      </c>
      <c r="T173">
        <v>12</v>
      </c>
      <c r="U173">
        <v>174240</v>
      </c>
      <c r="V173">
        <v>6</v>
      </c>
      <c r="W173">
        <v>0</v>
      </c>
      <c r="X173" t="s">
        <v>177</v>
      </c>
      <c r="Y173">
        <v>6000</v>
      </c>
      <c r="Z173" t="s">
        <v>178</v>
      </c>
      <c r="AA173" t="s">
        <v>169</v>
      </c>
      <c r="AB173" s="3" t="s">
        <v>179</v>
      </c>
      <c r="AC173" t="s">
        <v>109</v>
      </c>
      <c r="AD173" t="s">
        <v>55</v>
      </c>
      <c r="AE173" s="41" t="s">
        <v>180</v>
      </c>
    </row>
    <row r="174" spans="1:32">
      <c r="A174" s="24" t="s">
        <v>176</v>
      </c>
      <c r="B174" s="36" t="s">
        <v>97</v>
      </c>
      <c r="C174" s="3">
        <v>8602926</v>
      </c>
      <c r="D174" s="3">
        <v>638367</v>
      </c>
      <c r="E174" s="3">
        <v>84882</v>
      </c>
      <c r="F174" s="3">
        <v>9848</v>
      </c>
      <c r="G174" s="3">
        <v>106901</v>
      </c>
      <c r="H174" s="3">
        <v>0</v>
      </c>
      <c r="I174" s="3"/>
      <c r="J174" s="3">
        <v>0</v>
      </c>
      <c r="K174" s="3"/>
      <c r="L174" s="3"/>
      <c r="M174" s="3">
        <v>1045440</v>
      </c>
      <c r="N174" s="3">
        <v>5880000</v>
      </c>
      <c r="O174" s="3">
        <v>632046</v>
      </c>
      <c r="P174" s="3">
        <v>321869</v>
      </c>
      <c r="Q174" s="3">
        <v>310177</v>
      </c>
      <c r="R174" t="s">
        <v>40</v>
      </c>
      <c r="S174">
        <v>6</v>
      </c>
      <c r="T174">
        <v>12</v>
      </c>
      <c r="U174">
        <v>174240</v>
      </c>
      <c r="V174">
        <v>6</v>
      </c>
      <c r="W174">
        <v>0</v>
      </c>
      <c r="X174" t="s">
        <v>177</v>
      </c>
      <c r="Y174">
        <v>6000</v>
      </c>
      <c r="Z174" t="s">
        <v>178</v>
      </c>
      <c r="AA174" t="s">
        <v>169</v>
      </c>
      <c r="AB174" s="3" t="s">
        <v>179</v>
      </c>
      <c r="AC174" t="s">
        <v>109</v>
      </c>
      <c r="AD174" t="s">
        <v>55</v>
      </c>
      <c r="AE174" s="41" t="s">
        <v>180</v>
      </c>
    </row>
    <row r="175" spans="1:32">
      <c r="A175" s="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U175" s="3"/>
      <c r="V175" s="3"/>
      <c r="W175" s="3"/>
      <c r="X175" s="3"/>
      <c r="Y175" s="3"/>
      <c r="Z175" s="3"/>
      <c r="AB175" s="3"/>
      <c r="AC175" s="3"/>
      <c r="AD175" s="3"/>
    </row>
    <row r="176" spans="1:32" s="51" customFormat="1">
      <c r="A176" s="50" t="s">
        <v>186</v>
      </c>
      <c r="B176" s="50" t="s">
        <v>113</v>
      </c>
      <c r="C176" s="34"/>
      <c r="D176" s="34"/>
      <c r="E176" s="34">
        <v>80744</v>
      </c>
      <c r="F176" s="34"/>
      <c r="G176" s="34">
        <v>112391</v>
      </c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U176" s="34"/>
      <c r="V176" s="34"/>
      <c r="W176" s="34"/>
      <c r="X176" s="34"/>
      <c r="Y176" s="34"/>
      <c r="Z176" s="34"/>
      <c r="AB176" s="34"/>
      <c r="AC176" s="34"/>
      <c r="AD176" s="34"/>
    </row>
    <row r="177" spans="1:31" s="8" customFormat="1">
      <c r="A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U177" s="7"/>
      <c r="V177" s="7"/>
      <c r="W177" s="7"/>
      <c r="X177" s="7"/>
      <c r="Y177" s="7"/>
      <c r="Z177" s="7"/>
      <c r="AB177" s="7"/>
      <c r="AC177" s="7"/>
      <c r="AD177" s="7"/>
    </row>
    <row r="178" spans="1:31">
      <c r="A178" s="1" t="s">
        <v>187</v>
      </c>
      <c r="B178" t="s">
        <v>121</v>
      </c>
      <c r="C178" s="3"/>
      <c r="D178" s="3">
        <v>901161</v>
      </c>
      <c r="E178" s="3">
        <v>136221</v>
      </c>
      <c r="F178" s="3">
        <v>34055</v>
      </c>
      <c r="G178" s="3">
        <v>122680</v>
      </c>
      <c r="H178" s="3"/>
      <c r="I178" s="3"/>
      <c r="J178" s="3"/>
      <c r="K178" s="3"/>
      <c r="L178" s="3"/>
      <c r="M178" s="3">
        <v>1000000</v>
      </c>
      <c r="N178" s="3"/>
      <c r="O178" s="3"/>
      <c r="P178" s="3"/>
      <c r="Q178" s="3"/>
      <c r="R178" s="3" t="s">
        <v>40</v>
      </c>
      <c r="S178">
        <v>6</v>
      </c>
      <c r="T178">
        <v>12</v>
      </c>
      <c r="U178" s="3">
        <v>174240</v>
      </c>
      <c r="V178" s="3">
        <f t="shared" ref="V178:V196" si="1">M178/U178</f>
        <v>5.7392102846648303</v>
      </c>
      <c r="W178" s="3">
        <v>0</v>
      </c>
      <c r="X178" s="3" t="s">
        <v>177</v>
      </c>
      <c r="Y178" s="3">
        <v>6000</v>
      </c>
      <c r="Z178" s="3" t="s">
        <v>178</v>
      </c>
      <c r="AA178" t="s">
        <v>169</v>
      </c>
      <c r="AB178" s="3" t="s">
        <v>179</v>
      </c>
      <c r="AC178" s="3" t="s">
        <v>109</v>
      </c>
      <c r="AD178" s="3" t="s">
        <v>55</v>
      </c>
      <c r="AE178" t="s">
        <v>188</v>
      </c>
    </row>
    <row r="179" spans="1:31">
      <c r="A179" s="1" t="s">
        <v>187</v>
      </c>
      <c r="B179" t="s">
        <v>182</v>
      </c>
      <c r="C179" s="3">
        <v>2950812</v>
      </c>
      <c r="D179" s="3">
        <v>868532</v>
      </c>
      <c r="E179" s="3">
        <v>139053</v>
      </c>
      <c r="F179" s="3">
        <v>16490</v>
      </c>
      <c r="G179" s="3">
        <v>152274</v>
      </c>
      <c r="H179" s="3">
        <v>0</v>
      </c>
      <c r="I179" s="3"/>
      <c r="J179" s="3">
        <v>0</v>
      </c>
      <c r="K179" s="3"/>
      <c r="L179" s="3"/>
      <c r="M179" s="3">
        <v>1000000</v>
      </c>
      <c r="N179" s="3"/>
      <c r="O179" s="3"/>
      <c r="P179" s="3"/>
      <c r="Q179" s="3"/>
      <c r="R179" s="3" t="s">
        <v>40</v>
      </c>
      <c r="S179">
        <v>6</v>
      </c>
      <c r="T179">
        <v>12</v>
      </c>
      <c r="U179" s="3">
        <v>174240</v>
      </c>
      <c r="V179" s="3">
        <f t="shared" si="1"/>
        <v>5.7392102846648303</v>
      </c>
      <c r="W179" s="3">
        <v>0</v>
      </c>
      <c r="X179" s="3" t="s">
        <v>177</v>
      </c>
      <c r="Y179" s="3">
        <v>6000</v>
      </c>
      <c r="Z179" s="3" t="s">
        <v>178</v>
      </c>
      <c r="AA179" t="s">
        <v>169</v>
      </c>
      <c r="AB179" s="3" t="s">
        <v>179</v>
      </c>
      <c r="AC179" s="3" t="s">
        <v>109</v>
      </c>
      <c r="AD179" s="3" t="s">
        <v>55</v>
      </c>
      <c r="AE179" t="s">
        <v>188</v>
      </c>
    </row>
    <row r="180" spans="1:31">
      <c r="A180" s="1" t="s">
        <v>187</v>
      </c>
      <c r="B180" t="s">
        <v>183</v>
      </c>
      <c r="C180" s="3">
        <v>2693364</v>
      </c>
      <c r="D180" s="3">
        <v>608509</v>
      </c>
      <c r="E180" s="3">
        <v>66000</v>
      </c>
      <c r="F180" s="3">
        <v>6600</v>
      </c>
      <c r="G180" s="3">
        <v>145410</v>
      </c>
      <c r="H180" s="3">
        <v>0</v>
      </c>
      <c r="I180" s="3"/>
      <c r="J180" s="3">
        <v>0</v>
      </c>
      <c r="K180" s="3"/>
      <c r="L180" s="3"/>
      <c r="M180" s="3">
        <v>1000000</v>
      </c>
      <c r="N180" s="3"/>
      <c r="O180" s="3"/>
      <c r="P180" s="3"/>
      <c r="Q180" s="3"/>
      <c r="R180" s="3" t="s">
        <v>40</v>
      </c>
      <c r="S180">
        <v>6</v>
      </c>
      <c r="T180">
        <v>12</v>
      </c>
      <c r="U180" s="3">
        <v>174240</v>
      </c>
      <c r="V180" s="3">
        <f t="shared" si="1"/>
        <v>5.7392102846648303</v>
      </c>
      <c r="W180" s="3">
        <v>0</v>
      </c>
      <c r="X180" s="3" t="s">
        <v>177</v>
      </c>
      <c r="Y180" s="3">
        <v>6000</v>
      </c>
      <c r="Z180" s="3" t="s">
        <v>178</v>
      </c>
      <c r="AA180" t="s">
        <v>169</v>
      </c>
      <c r="AB180" s="3" t="s">
        <v>179</v>
      </c>
      <c r="AC180" s="3" t="s">
        <v>109</v>
      </c>
      <c r="AD180" s="3" t="s">
        <v>55</v>
      </c>
      <c r="AE180" t="s">
        <v>188</v>
      </c>
    </row>
    <row r="181" spans="1:31">
      <c r="A181" s="1" t="s">
        <v>187</v>
      </c>
      <c r="B181" t="s">
        <v>183</v>
      </c>
      <c r="C181" s="3">
        <v>2787576</v>
      </c>
      <c r="D181" s="3">
        <v>703662</v>
      </c>
      <c r="E181" s="3">
        <v>87787</v>
      </c>
      <c r="F181" s="3">
        <v>11090</v>
      </c>
      <c r="G181" s="3">
        <v>158742</v>
      </c>
      <c r="H181" s="3"/>
      <c r="I181" s="3"/>
      <c r="J181" s="3"/>
      <c r="K181" s="3"/>
      <c r="L181" s="3"/>
      <c r="M181" s="3">
        <v>1000000</v>
      </c>
      <c r="N181" s="3"/>
      <c r="O181" s="3"/>
      <c r="P181" s="3"/>
      <c r="Q181" s="3"/>
      <c r="R181" s="3" t="s">
        <v>40</v>
      </c>
      <c r="S181">
        <v>6</v>
      </c>
      <c r="T181">
        <v>12</v>
      </c>
      <c r="U181" s="3">
        <v>174240</v>
      </c>
      <c r="V181" s="3">
        <f t="shared" si="1"/>
        <v>5.7392102846648303</v>
      </c>
      <c r="W181" s="3">
        <v>0</v>
      </c>
      <c r="X181" s="3" t="s">
        <v>177</v>
      </c>
      <c r="Y181" s="3">
        <v>6000</v>
      </c>
      <c r="Z181" s="3" t="s">
        <v>178</v>
      </c>
      <c r="AA181" t="s">
        <v>169</v>
      </c>
      <c r="AB181" s="3" t="s">
        <v>179</v>
      </c>
      <c r="AC181" s="3" t="s">
        <v>109</v>
      </c>
      <c r="AD181" s="3" t="s">
        <v>55</v>
      </c>
      <c r="AE181" t="s">
        <v>188</v>
      </c>
    </row>
    <row r="182" spans="1:31">
      <c r="A182" s="1" t="s">
        <v>187</v>
      </c>
      <c r="B182" t="s">
        <v>183</v>
      </c>
      <c r="C182" s="3">
        <v>2803300</v>
      </c>
      <c r="D182" s="3">
        <v>719544</v>
      </c>
      <c r="E182" s="3">
        <v>93228</v>
      </c>
      <c r="F182" s="3">
        <v>11090</v>
      </c>
      <c r="G182" s="3">
        <v>158742</v>
      </c>
      <c r="H182" s="3"/>
      <c r="I182" s="3"/>
      <c r="J182" s="3"/>
      <c r="K182" s="3"/>
      <c r="L182" s="3"/>
      <c r="M182" s="3">
        <v>1000000</v>
      </c>
      <c r="N182" s="3"/>
      <c r="O182" s="3"/>
      <c r="P182" s="3"/>
      <c r="Q182" s="3"/>
      <c r="R182" s="3" t="s">
        <v>40</v>
      </c>
      <c r="S182">
        <v>6</v>
      </c>
      <c r="T182">
        <v>12</v>
      </c>
      <c r="U182" s="3">
        <v>174240</v>
      </c>
      <c r="V182" s="3">
        <f t="shared" si="1"/>
        <v>5.7392102846648303</v>
      </c>
      <c r="W182" s="3">
        <v>0</v>
      </c>
      <c r="X182" s="3" t="s">
        <v>177</v>
      </c>
      <c r="Y182" s="3">
        <v>6000</v>
      </c>
      <c r="Z182" s="3" t="s">
        <v>178</v>
      </c>
      <c r="AA182" t="s">
        <v>169</v>
      </c>
      <c r="AB182" s="3" t="s">
        <v>179</v>
      </c>
      <c r="AC182" s="3" t="s">
        <v>109</v>
      </c>
      <c r="AD182" s="3" t="s">
        <v>55</v>
      </c>
      <c r="AE182" t="s">
        <v>188</v>
      </c>
    </row>
    <row r="183" spans="1:31">
      <c r="A183" s="1" t="s">
        <v>187</v>
      </c>
      <c r="B183" t="s">
        <v>183</v>
      </c>
      <c r="C183" s="3"/>
      <c r="D183" s="3"/>
      <c r="E183" s="3">
        <v>92732</v>
      </c>
      <c r="F183" s="3"/>
      <c r="G183" s="3"/>
      <c r="H183" s="3"/>
      <c r="I183" s="3"/>
      <c r="J183" s="3"/>
      <c r="K183" s="3"/>
      <c r="L183" s="3"/>
      <c r="M183" s="3">
        <v>1000000</v>
      </c>
      <c r="N183" s="3"/>
      <c r="O183" s="3"/>
      <c r="P183" s="3"/>
      <c r="Q183" s="3"/>
      <c r="R183" s="3" t="s">
        <v>40</v>
      </c>
      <c r="S183">
        <v>6</v>
      </c>
      <c r="T183">
        <v>12</v>
      </c>
      <c r="U183" s="3">
        <v>174240</v>
      </c>
      <c r="V183" s="3">
        <f t="shared" si="1"/>
        <v>5.7392102846648303</v>
      </c>
      <c r="W183" s="3">
        <v>0</v>
      </c>
      <c r="X183" s="3" t="s">
        <v>177</v>
      </c>
      <c r="Y183" s="3">
        <v>6000</v>
      </c>
      <c r="Z183" s="3" t="s">
        <v>178</v>
      </c>
      <c r="AA183" t="s">
        <v>169</v>
      </c>
      <c r="AB183" s="3" t="s">
        <v>179</v>
      </c>
      <c r="AC183" s="3" t="s">
        <v>109</v>
      </c>
      <c r="AD183" s="3" t="s">
        <v>55</v>
      </c>
      <c r="AE183" t="s">
        <v>188</v>
      </c>
    </row>
    <row r="184" spans="1:31">
      <c r="A184" s="1" t="s">
        <v>187</v>
      </c>
      <c r="B184" t="s">
        <v>183</v>
      </c>
      <c r="C184" s="3"/>
      <c r="D184" s="3"/>
      <c r="E184" s="3">
        <v>95453</v>
      </c>
      <c r="F184" s="3"/>
      <c r="G184" s="3"/>
      <c r="H184" s="3"/>
      <c r="I184" s="3"/>
      <c r="J184" s="3"/>
      <c r="K184" s="3"/>
      <c r="L184" s="3"/>
      <c r="M184" s="3">
        <v>1000000</v>
      </c>
      <c r="N184" s="3"/>
      <c r="O184" s="3"/>
      <c r="P184" s="3"/>
      <c r="Q184" s="3"/>
      <c r="R184" s="3" t="s">
        <v>40</v>
      </c>
      <c r="S184">
        <v>6</v>
      </c>
      <c r="T184">
        <v>12</v>
      </c>
      <c r="U184" s="3">
        <v>174240</v>
      </c>
      <c r="V184" s="3">
        <f t="shared" si="1"/>
        <v>5.7392102846648303</v>
      </c>
      <c r="W184" s="3">
        <v>0</v>
      </c>
      <c r="X184" s="3" t="s">
        <v>177</v>
      </c>
      <c r="Y184" s="3">
        <v>6000</v>
      </c>
      <c r="Z184" s="3" t="s">
        <v>178</v>
      </c>
      <c r="AA184" t="s">
        <v>169</v>
      </c>
      <c r="AB184" s="3" t="s">
        <v>179</v>
      </c>
      <c r="AC184" s="3" t="s">
        <v>109</v>
      </c>
      <c r="AD184" s="3" t="s">
        <v>55</v>
      </c>
      <c r="AE184" t="s">
        <v>188</v>
      </c>
    </row>
    <row r="185" spans="1:31" s="33" customFormat="1">
      <c r="A185" s="30" t="s">
        <v>187</v>
      </c>
      <c r="B185" s="33" t="s">
        <v>72</v>
      </c>
      <c r="C185" s="31">
        <v>2809730</v>
      </c>
      <c r="D185" s="31">
        <v>726039</v>
      </c>
      <c r="E185" s="31">
        <v>95453</v>
      </c>
      <c r="F185" s="31">
        <v>11090</v>
      </c>
      <c r="G185" s="31">
        <v>158742</v>
      </c>
      <c r="H185" s="31">
        <v>0</v>
      </c>
      <c r="I185" s="31"/>
      <c r="J185" s="31">
        <v>0</v>
      </c>
      <c r="K185" s="31"/>
      <c r="L185" s="31"/>
      <c r="M185" s="31">
        <v>1000000</v>
      </c>
      <c r="N185" s="31"/>
      <c r="O185" s="31">
        <v>718850</v>
      </c>
      <c r="P185" s="31">
        <v>47885</v>
      </c>
      <c r="Q185" s="31">
        <v>932951</v>
      </c>
      <c r="R185" s="31" t="s">
        <v>40</v>
      </c>
      <c r="S185" s="33">
        <v>6</v>
      </c>
      <c r="T185" s="33">
        <v>12</v>
      </c>
      <c r="U185" s="31">
        <v>174240</v>
      </c>
      <c r="V185" s="31">
        <f t="shared" si="1"/>
        <v>5.7392102846648303</v>
      </c>
      <c r="W185" s="31">
        <v>0</v>
      </c>
      <c r="X185" s="31" t="s">
        <v>177</v>
      </c>
      <c r="Y185" s="31">
        <v>6000</v>
      </c>
      <c r="Z185" s="31" t="s">
        <v>178</v>
      </c>
      <c r="AA185" s="33" t="s">
        <v>169</v>
      </c>
      <c r="AB185" s="31" t="s">
        <v>179</v>
      </c>
      <c r="AC185" s="31" t="s">
        <v>109</v>
      </c>
      <c r="AD185" s="31" t="s">
        <v>55</v>
      </c>
      <c r="AE185" s="33" t="s">
        <v>188</v>
      </c>
    </row>
    <row r="186" spans="1:31" s="33" customFormat="1">
      <c r="A186" s="30" t="s">
        <v>187</v>
      </c>
      <c r="B186" s="3" t="s">
        <v>73</v>
      </c>
      <c r="C186" s="31">
        <v>2474535</v>
      </c>
      <c r="D186" s="31">
        <v>387492</v>
      </c>
      <c r="E186" s="31">
        <v>95453</v>
      </c>
      <c r="F186" s="31">
        <v>11090</v>
      </c>
      <c r="G186" s="31">
        <v>47623</v>
      </c>
      <c r="H186" s="31">
        <v>0</v>
      </c>
      <c r="I186" s="31"/>
      <c r="J186" s="31">
        <v>0</v>
      </c>
      <c r="K186" s="31"/>
      <c r="L186" s="31"/>
      <c r="M186" s="31">
        <v>1000000</v>
      </c>
      <c r="N186" s="31"/>
      <c r="O186" s="31">
        <v>718850</v>
      </c>
      <c r="P186" s="31">
        <v>47885</v>
      </c>
      <c r="Q186" s="31">
        <v>932951</v>
      </c>
      <c r="R186" s="31" t="s">
        <v>40</v>
      </c>
      <c r="S186" s="33">
        <v>6</v>
      </c>
      <c r="T186" s="33">
        <v>12</v>
      </c>
      <c r="U186" s="31">
        <v>174240</v>
      </c>
      <c r="V186" s="31">
        <f t="shared" si="1"/>
        <v>5.7392102846648303</v>
      </c>
      <c r="W186" s="31">
        <v>0</v>
      </c>
      <c r="X186" s="31" t="s">
        <v>177</v>
      </c>
      <c r="Y186" s="31">
        <v>6000</v>
      </c>
      <c r="Z186" s="31" t="s">
        <v>178</v>
      </c>
      <c r="AA186" s="33" t="s">
        <v>169</v>
      </c>
      <c r="AB186" s="31" t="s">
        <v>179</v>
      </c>
      <c r="AC186" s="31" t="s">
        <v>109</v>
      </c>
      <c r="AD186" s="31" t="s">
        <v>55</v>
      </c>
      <c r="AE186" s="33" t="s">
        <v>188</v>
      </c>
    </row>
    <row r="187" spans="1:31" s="33" customFormat="1">
      <c r="A187" s="30" t="s">
        <v>187</v>
      </c>
      <c r="B187" s="3" t="s">
        <v>74</v>
      </c>
      <c r="C187" s="31">
        <v>2666075</v>
      </c>
      <c r="D187" s="31">
        <v>580947</v>
      </c>
      <c r="E187" s="31">
        <v>95453</v>
      </c>
      <c r="F187" s="31">
        <v>11090</v>
      </c>
      <c r="G187" s="31">
        <v>111119</v>
      </c>
      <c r="H187" s="31">
        <v>0</v>
      </c>
      <c r="I187" s="31"/>
      <c r="J187" s="31">
        <v>0</v>
      </c>
      <c r="K187" s="31"/>
      <c r="L187" s="31"/>
      <c r="M187" s="31">
        <v>1000000</v>
      </c>
      <c r="N187" s="31"/>
      <c r="O187" s="31">
        <v>718850</v>
      </c>
      <c r="P187" s="31">
        <v>47885</v>
      </c>
      <c r="Q187" s="31">
        <v>932951</v>
      </c>
      <c r="R187" s="31" t="s">
        <v>40</v>
      </c>
      <c r="S187" s="33">
        <v>6</v>
      </c>
      <c r="T187" s="33">
        <v>12</v>
      </c>
      <c r="U187" s="31">
        <v>174240</v>
      </c>
      <c r="V187" s="31">
        <f t="shared" si="1"/>
        <v>5.7392102846648303</v>
      </c>
      <c r="W187" s="31">
        <v>0</v>
      </c>
      <c r="X187" s="31" t="s">
        <v>177</v>
      </c>
      <c r="Y187" s="31">
        <v>6000</v>
      </c>
      <c r="Z187" s="31" t="s">
        <v>178</v>
      </c>
      <c r="AA187" s="33" t="s">
        <v>169</v>
      </c>
      <c r="AB187" s="31" t="s">
        <v>179</v>
      </c>
      <c r="AC187" s="31" t="s">
        <v>109</v>
      </c>
      <c r="AD187" s="31" t="s">
        <v>55</v>
      </c>
      <c r="AE187" s="33" t="s">
        <v>188</v>
      </c>
    </row>
    <row r="188" spans="1:31" s="33" customFormat="1">
      <c r="A188" s="1" t="s">
        <v>187</v>
      </c>
      <c r="B188" s="34" t="s">
        <v>75</v>
      </c>
      <c r="C188" s="34">
        <v>2693334</v>
      </c>
      <c r="D188" s="34">
        <v>608479</v>
      </c>
      <c r="E188" s="34">
        <v>108620</v>
      </c>
      <c r="F188" s="34">
        <v>11313</v>
      </c>
      <c r="G188" s="34">
        <v>111119</v>
      </c>
      <c r="H188" s="31">
        <v>0</v>
      </c>
      <c r="I188" s="31"/>
      <c r="J188" s="31">
        <v>0</v>
      </c>
      <c r="K188" s="31"/>
      <c r="L188" s="31"/>
      <c r="M188" s="31">
        <v>1000000</v>
      </c>
      <c r="N188" s="31"/>
      <c r="O188" s="31">
        <v>718850</v>
      </c>
      <c r="P188" s="31">
        <v>47885</v>
      </c>
      <c r="Q188" s="31">
        <v>932951</v>
      </c>
      <c r="R188" s="31" t="s">
        <v>40</v>
      </c>
      <c r="S188" s="33">
        <v>6</v>
      </c>
      <c r="T188" s="33">
        <v>12</v>
      </c>
      <c r="U188" s="31">
        <v>174240</v>
      </c>
      <c r="V188" s="31">
        <f t="shared" si="1"/>
        <v>5.7392102846648303</v>
      </c>
      <c r="W188" s="31">
        <v>0</v>
      </c>
      <c r="X188" s="31" t="s">
        <v>177</v>
      </c>
      <c r="Y188" s="31">
        <v>6000</v>
      </c>
      <c r="Z188" s="31" t="s">
        <v>178</v>
      </c>
      <c r="AA188" s="33" t="s">
        <v>169</v>
      </c>
      <c r="AB188" s="31" t="s">
        <v>179</v>
      </c>
      <c r="AC188" s="31" t="s">
        <v>109</v>
      </c>
      <c r="AD188" s="31" t="s">
        <v>55</v>
      </c>
      <c r="AE188" s="33" t="s">
        <v>188</v>
      </c>
    </row>
    <row r="189" spans="1:31" s="33" customFormat="1">
      <c r="A189" s="1" t="s">
        <v>187</v>
      </c>
      <c r="B189" s="38" t="s">
        <v>76</v>
      </c>
      <c r="C189" s="38">
        <v>2444485</v>
      </c>
      <c r="D189" s="38">
        <v>357141</v>
      </c>
      <c r="E189" s="38">
        <v>104757</v>
      </c>
      <c r="F189" s="38">
        <v>11792</v>
      </c>
      <c r="G189" s="38">
        <v>108746</v>
      </c>
      <c r="H189" s="31">
        <v>0</v>
      </c>
      <c r="I189" s="31"/>
      <c r="J189" s="31">
        <v>0</v>
      </c>
      <c r="K189" s="31"/>
      <c r="L189" s="31"/>
      <c r="M189" s="31">
        <v>1000000</v>
      </c>
      <c r="N189" s="31"/>
      <c r="O189" s="31">
        <v>718850</v>
      </c>
      <c r="P189" s="31">
        <v>47885</v>
      </c>
      <c r="Q189" s="31">
        <v>932951</v>
      </c>
      <c r="R189" s="31" t="s">
        <v>40</v>
      </c>
      <c r="S189" s="33">
        <v>6</v>
      </c>
      <c r="T189" s="33">
        <v>12</v>
      </c>
      <c r="U189" s="31">
        <v>174240</v>
      </c>
      <c r="V189" s="31">
        <f t="shared" si="1"/>
        <v>5.7392102846648303</v>
      </c>
      <c r="W189" s="31">
        <v>0</v>
      </c>
      <c r="X189" s="31" t="s">
        <v>177</v>
      </c>
      <c r="Y189" s="31">
        <v>6000</v>
      </c>
      <c r="Z189" s="31" t="s">
        <v>178</v>
      </c>
      <c r="AA189" s="33" t="s">
        <v>169</v>
      </c>
      <c r="AB189" s="31" t="s">
        <v>179</v>
      </c>
      <c r="AC189" s="31" t="s">
        <v>109</v>
      </c>
      <c r="AD189" s="31" t="s">
        <v>55</v>
      </c>
      <c r="AE189" s="33" t="s">
        <v>188</v>
      </c>
    </row>
    <row r="190" spans="1:31" s="33" customFormat="1">
      <c r="A190" s="1" t="s">
        <v>187</v>
      </c>
      <c r="B190" s="38" t="s">
        <v>78</v>
      </c>
      <c r="C190" s="38">
        <v>5094171</v>
      </c>
      <c r="D190" s="38">
        <v>609324</v>
      </c>
      <c r="E190" s="38">
        <v>109287</v>
      </c>
      <c r="F190" s="38">
        <v>11043</v>
      </c>
      <c r="G190" s="38">
        <v>111360</v>
      </c>
      <c r="H190" s="38">
        <v>0</v>
      </c>
      <c r="I190" s="38"/>
      <c r="J190" s="38">
        <v>0</v>
      </c>
      <c r="K190" s="38"/>
      <c r="L190" s="38"/>
      <c r="M190" s="38">
        <v>1045440</v>
      </c>
      <c r="N190" s="38"/>
      <c r="O190" s="38">
        <v>603291</v>
      </c>
      <c r="P190" s="38">
        <v>36329</v>
      </c>
      <c r="Q190" s="38">
        <v>672988</v>
      </c>
      <c r="R190" s="38" t="s">
        <v>40</v>
      </c>
      <c r="S190" s="38">
        <v>6</v>
      </c>
      <c r="T190" s="38">
        <v>12</v>
      </c>
      <c r="U190" s="38">
        <v>174240</v>
      </c>
      <c r="V190" s="38">
        <f t="shared" si="1"/>
        <v>6</v>
      </c>
      <c r="W190" s="38">
        <v>0</v>
      </c>
      <c r="X190" s="38" t="s">
        <v>177</v>
      </c>
      <c r="Y190" s="38">
        <v>6000</v>
      </c>
      <c r="Z190" s="38" t="s">
        <v>178</v>
      </c>
      <c r="AA190" s="38" t="s">
        <v>169</v>
      </c>
      <c r="AB190" s="38" t="s">
        <v>179</v>
      </c>
      <c r="AC190" s="38" t="s">
        <v>109</v>
      </c>
      <c r="AD190" s="38" t="s">
        <v>55</v>
      </c>
      <c r="AE190" s="38" t="s">
        <v>188</v>
      </c>
    </row>
    <row r="191" spans="1:31" s="33" customFormat="1">
      <c r="A191" s="1" t="s">
        <v>187</v>
      </c>
      <c r="B191" t="s">
        <v>82</v>
      </c>
      <c r="C191" s="31">
        <v>5210939</v>
      </c>
      <c r="D191" s="31">
        <v>727260</v>
      </c>
      <c r="E191" s="31">
        <v>101090</v>
      </c>
      <c r="F191" s="31">
        <v>10214</v>
      </c>
      <c r="G191" s="31">
        <v>147155</v>
      </c>
      <c r="H191" s="38">
        <v>0</v>
      </c>
      <c r="I191" s="38"/>
      <c r="J191" s="38">
        <v>0</v>
      </c>
      <c r="K191" s="38"/>
      <c r="L191" s="38"/>
      <c r="M191" s="38">
        <v>1045440</v>
      </c>
      <c r="N191" s="38"/>
      <c r="O191" s="31">
        <v>720059</v>
      </c>
      <c r="P191" s="31">
        <v>48006</v>
      </c>
      <c r="Q191" s="31">
        <v>940774</v>
      </c>
      <c r="R191" s="31" t="s">
        <v>40</v>
      </c>
      <c r="S191" s="38">
        <v>6</v>
      </c>
      <c r="T191" s="38">
        <v>12</v>
      </c>
      <c r="U191" s="38">
        <v>174240</v>
      </c>
      <c r="V191" s="38">
        <f t="shared" si="1"/>
        <v>6</v>
      </c>
      <c r="W191" s="38">
        <v>0</v>
      </c>
      <c r="X191" s="38" t="s">
        <v>177</v>
      </c>
      <c r="Y191" s="38">
        <v>6000</v>
      </c>
      <c r="Z191" s="38" t="s">
        <v>178</v>
      </c>
      <c r="AA191" s="38" t="s">
        <v>169</v>
      </c>
      <c r="AB191" s="38" t="s">
        <v>179</v>
      </c>
      <c r="AC191" s="38" t="s">
        <v>109</v>
      </c>
      <c r="AD191" s="38" t="s">
        <v>55</v>
      </c>
      <c r="AE191" s="38" t="s">
        <v>188</v>
      </c>
    </row>
    <row r="192" spans="1:31">
      <c r="A192" s="1" t="s">
        <v>187</v>
      </c>
      <c r="B192" t="s">
        <v>83</v>
      </c>
      <c r="C192" s="3">
        <v>5177866</v>
      </c>
      <c r="D192" s="3">
        <v>693856</v>
      </c>
      <c r="E192" s="3">
        <v>103822</v>
      </c>
      <c r="F192" s="3">
        <v>10490</v>
      </c>
      <c r="G192" s="3">
        <v>105085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 t="s">
        <v>40</v>
      </c>
      <c r="S192" s="38">
        <v>6</v>
      </c>
      <c r="T192" s="38">
        <v>12</v>
      </c>
      <c r="U192" s="38">
        <v>174240</v>
      </c>
      <c r="V192" s="38">
        <f t="shared" si="1"/>
        <v>0</v>
      </c>
      <c r="W192" s="38">
        <v>0</v>
      </c>
      <c r="X192" s="38" t="s">
        <v>177</v>
      </c>
      <c r="Y192" s="38">
        <v>6000</v>
      </c>
      <c r="Z192" s="38" t="s">
        <v>178</v>
      </c>
      <c r="AA192" s="38" t="s">
        <v>169</v>
      </c>
      <c r="AB192" s="38" t="s">
        <v>179</v>
      </c>
      <c r="AC192" s="38" t="s">
        <v>109</v>
      </c>
      <c r="AD192" s="38" t="s">
        <v>55</v>
      </c>
      <c r="AE192" s="38" t="s">
        <v>188</v>
      </c>
    </row>
    <row r="193" spans="1:32">
      <c r="A193" s="1" t="s">
        <v>187</v>
      </c>
      <c r="B193" t="s">
        <v>84</v>
      </c>
      <c r="C193" s="3">
        <v>5177866</v>
      </c>
      <c r="D193" s="3">
        <v>693856</v>
      </c>
      <c r="E193" s="3">
        <v>103822</v>
      </c>
      <c r="F193" s="3">
        <v>10490</v>
      </c>
      <c r="G193" s="3">
        <v>105085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 t="s">
        <v>40</v>
      </c>
      <c r="S193" s="38">
        <v>6</v>
      </c>
      <c r="T193" s="38">
        <v>12</v>
      </c>
      <c r="U193" s="38">
        <v>174240</v>
      </c>
      <c r="V193" s="38">
        <f t="shared" si="1"/>
        <v>0</v>
      </c>
      <c r="W193" s="38">
        <v>0</v>
      </c>
      <c r="X193" s="38" t="s">
        <v>177</v>
      </c>
      <c r="Y193" s="38">
        <v>6000</v>
      </c>
      <c r="Z193" s="38" t="s">
        <v>178</v>
      </c>
      <c r="AA193" s="38" t="s">
        <v>169</v>
      </c>
      <c r="AB193" s="38" t="s">
        <v>179</v>
      </c>
      <c r="AC193" s="38" t="s">
        <v>109</v>
      </c>
      <c r="AD193" s="38" t="s">
        <v>55</v>
      </c>
      <c r="AE193" s="38" t="s">
        <v>188</v>
      </c>
    </row>
    <row r="194" spans="1:32">
      <c r="A194" s="1" t="s">
        <v>187</v>
      </c>
      <c r="B194" s="43" t="s">
        <v>85</v>
      </c>
      <c r="C194" s="44">
        <v>5166104</v>
      </c>
      <c r="D194" s="44">
        <v>681976</v>
      </c>
      <c r="E194" s="44">
        <v>101090</v>
      </c>
      <c r="F194" s="44">
        <v>10214</v>
      </c>
      <c r="G194" s="44">
        <v>102320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 t="s">
        <v>40</v>
      </c>
      <c r="S194" s="38">
        <v>6</v>
      </c>
      <c r="T194" s="38">
        <v>12</v>
      </c>
      <c r="U194" s="38">
        <v>174240</v>
      </c>
      <c r="V194" s="38">
        <f t="shared" si="1"/>
        <v>0</v>
      </c>
      <c r="W194" s="38">
        <v>0</v>
      </c>
      <c r="X194" s="38" t="s">
        <v>177</v>
      </c>
      <c r="Y194" s="38">
        <v>6000</v>
      </c>
      <c r="Z194" s="38" t="s">
        <v>178</v>
      </c>
      <c r="AA194" s="38" t="s">
        <v>169</v>
      </c>
      <c r="AB194" s="38" t="s">
        <v>179</v>
      </c>
      <c r="AC194" s="38" t="s">
        <v>109</v>
      </c>
      <c r="AD194" s="38" t="s">
        <v>55</v>
      </c>
      <c r="AE194" s="38" t="s">
        <v>188</v>
      </c>
    </row>
    <row r="195" spans="1:32">
      <c r="A195" s="1" t="s">
        <v>187</v>
      </c>
      <c r="B195" s="45" t="s">
        <v>86</v>
      </c>
      <c r="C195" s="46"/>
      <c r="D195" s="46"/>
      <c r="E195" s="46"/>
      <c r="F195" s="46"/>
      <c r="G195" s="4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 t="s">
        <v>40</v>
      </c>
      <c r="S195" s="38">
        <v>6</v>
      </c>
      <c r="T195" s="38">
        <v>12</v>
      </c>
      <c r="U195" s="38">
        <v>174240</v>
      </c>
      <c r="V195" s="38">
        <f t="shared" si="1"/>
        <v>0</v>
      </c>
      <c r="W195" s="38">
        <v>0</v>
      </c>
      <c r="X195" s="38" t="s">
        <v>177</v>
      </c>
      <c r="Y195" s="38">
        <v>6000</v>
      </c>
      <c r="Z195" s="38" t="s">
        <v>178</v>
      </c>
      <c r="AA195" s="38" t="s">
        <v>169</v>
      </c>
      <c r="AB195" s="38" t="s">
        <v>179</v>
      </c>
      <c r="AC195" s="38" t="s">
        <v>109</v>
      </c>
      <c r="AD195" s="38" t="s">
        <v>55</v>
      </c>
      <c r="AE195" s="38" t="s">
        <v>188</v>
      </c>
    </row>
    <row r="196" spans="1:32">
      <c r="A196" s="1" t="s">
        <v>187</v>
      </c>
      <c r="B196" t="s">
        <v>91</v>
      </c>
      <c r="C196" s="3">
        <v>5266790</v>
      </c>
      <c r="D196" s="3">
        <v>783669</v>
      </c>
      <c r="E196" s="3">
        <v>97075</v>
      </c>
      <c r="F196" s="3">
        <v>10281</v>
      </c>
      <c r="G196" s="3">
        <v>189341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 t="s">
        <v>40</v>
      </c>
      <c r="S196" s="38">
        <v>6</v>
      </c>
      <c r="T196" s="38">
        <v>12</v>
      </c>
      <c r="U196" s="38">
        <v>174240</v>
      </c>
      <c r="V196" s="38">
        <f t="shared" si="1"/>
        <v>0</v>
      </c>
      <c r="W196" s="38">
        <v>0</v>
      </c>
      <c r="X196" s="38" t="s">
        <v>177</v>
      </c>
      <c r="Y196" s="38">
        <v>6000</v>
      </c>
      <c r="Z196" s="38" t="s">
        <v>178</v>
      </c>
      <c r="AA196" s="38" t="s">
        <v>169</v>
      </c>
      <c r="AB196" s="38" t="s">
        <v>179</v>
      </c>
      <c r="AC196" s="38" t="s">
        <v>109</v>
      </c>
      <c r="AD196" s="38" t="s">
        <v>55</v>
      </c>
      <c r="AE196" s="38" t="s">
        <v>188</v>
      </c>
    </row>
    <row r="197" spans="1:32">
      <c r="A197" s="1" t="s">
        <v>187</v>
      </c>
      <c r="B197" s="36" t="s">
        <v>97</v>
      </c>
      <c r="C197" s="3">
        <v>8612470</v>
      </c>
      <c r="D197" s="3">
        <v>648006</v>
      </c>
      <c r="E197" s="3">
        <v>90294</v>
      </c>
      <c r="F197" s="3">
        <v>8479</v>
      </c>
      <c r="G197" s="3">
        <v>106809</v>
      </c>
      <c r="H197" s="3">
        <v>0</v>
      </c>
      <c r="I197" s="3"/>
      <c r="J197" s="3">
        <v>0</v>
      </c>
      <c r="K197" s="3"/>
      <c r="L197" s="3"/>
      <c r="M197" s="38">
        <v>1045440</v>
      </c>
      <c r="N197" s="3">
        <v>5880000</v>
      </c>
      <c r="O197" s="3">
        <v>641589</v>
      </c>
      <c r="P197" s="3">
        <v>330317</v>
      </c>
      <c r="Q197" s="3">
        <v>311271</v>
      </c>
      <c r="R197" s="3" t="s">
        <v>40</v>
      </c>
      <c r="S197" s="38">
        <v>6</v>
      </c>
      <c r="T197" s="38">
        <v>12</v>
      </c>
      <c r="U197" s="38">
        <v>174240</v>
      </c>
      <c r="V197" s="38">
        <v>6</v>
      </c>
      <c r="W197" s="38">
        <v>0</v>
      </c>
      <c r="X197" s="38" t="s">
        <v>177</v>
      </c>
      <c r="Y197" s="38">
        <v>6000</v>
      </c>
      <c r="Z197" s="38" t="s">
        <v>178</v>
      </c>
      <c r="AA197" s="38" t="s">
        <v>169</v>
      </c>
      <c r="AB197" s="38" t="s">
        <v>179</v>
      </c>
      <c r="AC197" s="38" t="s">
        <v>109</v>
      </c>
      <c r="AD197" s="38" t="s">
        <v>55</v>
      </c>
      <c r="AE197" s="38" t="s">
        <v>188</v>
      </c>
    </row>
    <row r="198" spans="1:32">
      <c r="A198" s="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U198" s="3"/>
      <c r="V198" s="3"/>
      <c r="W198" s="3"/>
      <c r="X198" s="3"/>
      <c r="Y198" s="3"/>
      <c r="Z198" s="3"/>
      <c r="AB198" s="3"/>
      <c r="AC198" s="3"/>
      <c r="AD198" s="3"/>
    </row>
    <row r="199" spans="1:32">
      <c r="A199" s="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U199" s="3"/>
      <c r="V199" s="3"/>
      <c r="W199" s="3"/>
      <c r="X199" s="3"/>
      <c r="Y199" s="3"/>
      <c r="Z199" s="3"/>
      <c r="AB199" s="3"/>
      <c r="AC199" s="3"/>
      <c r="AD199" s="3"/>
    </row>
    <row r="200" spans="1:32" s="51" customFormat="1">
      <c r="A200" s="50" t="s">
        <v>189</v>
      </c>
      <c r="B200" s="50" t="s">
        <v>113</v>
      </c>
      <c r="C200" s="34"/>
      <c r="D200" s="34"/>
      <c r="E200" s="34">
        <v>112708</v>
      </c>
      <c r="F200" s="34"/>
      <c r="G200" s="34">
        <v>108423</v>
      </c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U200" s="34"/>
      <c r="V200" s="34"/>
      <c r="W200" s="34"/>
      <c r="X200" s="34"/>
      <c r="Y200" s="34"/>
      <c r="Z200" s="34"/>
      <c r="AB200" s="34"/>
      <c r="AC200" s="34"/>
      <c r="AD200" s="34"/>
    </row>
    <row r="201" spans="1:32" s="8" customFormat="1">
      <c r="A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U201" s="7"/>
      <c r="V201" s="7"/>
      <c r="W201" s="7"/>
      <c r="X201" s="7"/>
      <c r="Y201" s="7"/>
      <c r="Z201" s="7"/>
      <c r="AB201" s="7"/>
      <c r="AC201" s="7"/>
      <c r="AD201" s="7"/>
    </row>
    <row r="202" spans="1:32">
      <c r="A202" s="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2">
      <c r="A203" s="1" t="s">
        <v>190</v>
      </c>
      <c r="B203" t="s">
        <v>39</v>
      </c>
      <c r="C203" s="3">
        <v>1021591</v>
      </c>
      <c r="D203" s="3">
        <v>1341867</v>
      </c>
      <c r="E203" s="3">
        <v>127819</v>
      </c>
      <c r="F203" s="3">
        <v>30922</v>
      </c>
      <c r="G203" s="3">
        <v>166190</v>
      </c>
      <c r="H203" s="3"/>
      <c r="I203" s="3"/>
      <c r="J203" s="3"/>
      <c r="K203" s="3"/>
      <c r="L203" s="3"/>
      <c r="M203" s="3">
        <v>311508</v>
      </c>
      <c r="N203" s="3"/>
      <c r="O203" s="3"/>
      <c r="P203" s="3"/>
      <c r="Q203" s="3"/>
      <c r="R203" s="3" t="s">
        <v>40</v>
      </c>
      <c r="S203">
        <v>2</v>
      </c>
      <c r="T203">
        <v>0</v>
      </c>
      <c r="U203" s="3">
        <v>43560</v>
      </c>
      <c r="V203" s="3"/>
      <c r="W203" s="3">
        <v>0</v>
      </c>
      <c r="X203" s="3" t="s">
        <v>191</v>
      </c>
      <c r="Y203" s="3">
        <v>1800</v>
      </c>
      <c r="Z203" s="3" t="s">
        <v>115</v>
      </c>
      <c r="AA203" t="s">
        <v>192</v>
      </c>
      <c r="AB203" s="3" t="s">
        <v>108</v>
      </c>
      <c r="AC203" s="5" t="s">
        <v>55</v>
      </c>
      <c r="AD203" s="4" t="s">
        <v>44</v>
      </c>
      <c r="AE203" t="s">
        <v>193</v>
      </c>
      <c r="AF203" t="s">
        <v>194</v>
      </c>
    </row>
    <row r="204" spans="1:32">
      <c r="A204" s="1" t="s">
        <v>190</v>
      </c>
      <c r="B204" t="s">
        <v>47</v>
      </c>
      <c r="C204" s="3">
        <v>1663402</v>
      </c>
      <c r="D204" s="3">
        <v>2095038</v>
      </c>
      <c r="E204" s="3">
        <v>277484</v>
      </c>
      <c r="F204" s="3">
        <v>131886</v>
      </c>
      <c r="G204" s="3">
        <v>335140</v>
      </c>
      <c r="H204" s="3"/>
      <c r="I204" s="3"/>
      <c r="J204" s="3"/>
      <c r="K204" s="3"/>
      <c r="L204" s="3"/>
      <c r="M204" s="3">
        <v>311508</v>
      </c>
      <c r="N204" s="3"/>
      <c r="O204" s="3"/>
      <c r="P204" s="3"/>
      <c r="Q204" s="3"/>
      <c r="R204" s="3" t="s">
        <v>40</v>
      </c>
      <c r="S204">
        <v>2</v>
      </c>
      <c r="T204">
        <v>0</v>
      </c>
      <c r="U204" s="3">
        <v>43560</v>
      </c>
      <c r="V204" s="3"/>
      <c r="W204" s="3">
        <v>0</v>
      </c>
      <c r="X204" s="3" t="s">
        <v>191</v>
      </c>
      <c r="Y204" s="3">
        <v>1800</v>
      </c>
      <c r="Z204" s="3" t="s">
        <v>115</v>
      </c>
      <c r="AA204" t="s">
        <v>192</v>
      </c>
      <c r="AB204" s="3" t="s">
        <v>108</v>
      </c>
      <c r="AC204" s="5" t="s">
        <v>55</v>
      </c>
      <c r="AD204" s="4" t="s">
        <v>44</v>
      </c>
      <c r="AE204" t="s">
        <v>193</v>
      </c>
      <c r="AF204" t="s">
        <v>194</v>
      </c>
    </row>
    <row r="205" spans="1:32">
      <c r="A205" s="1" t="s">
        <v>190</v>
      </c>
      <c r="B205" t="s">
        <v>50</v>
      </c>
      <c r="C205" s="3">
        <v>656134</v>
      </c>
      <c r="D205" s="3">
        <v>617049</v>
      </c>
      <c r="E205" s="3">
        <v>127882</v>
      </c>
      <c r="F205" s="3">
        <v>30936</v>
      </c>
      <c r="G205" s="3">
        <v>63016</v>
      </c>
      <c r="H205" s="3">
        <v>0</v>
      </c>
      <c r="I205" s="3"/>
      <c r="J205" s="3">
        <v>0</v>
      </c>
      <c r="K205" s="3"/>
      <c r="L205" s="3"/>
      <c r="M205" s="3">
        <v>22597</v>
      </c>
      <c r="N205" s="3"/>
      <c r="O205" s="3">
        <v>610939</v>
      </c>
      <c r="P205" s="3">
        <v>55693</v>
      </c>
      <c r="Q205" s="3">
        <v>783684</v>
      </c>
      <c r="R205" s="3" t="s">
        <v>40</v>
      </c>
      <c r="S205">
        <v>2</v>
      </c>
      <c r="T205">
        <v>0</v>
      </c>
      <c r="U205" s="3">
        <v>35000</v>
      </c>
      <c r="V205" s="3"/>
      <c r="W205" s="3">
        <v>0</v>
      </c>
      <c r="X205" s="3" t="s">
        <v>191</v>
      </c>
      <c r="Y205" s="3">
        <v>1800</v>
      </c>
      <c r="Z205" s="3" t="s">
        <v>115</v>
      </c>
      <c r="AA205" t="s">
        <v>192</v>
      </c>
      <c r="AB205" s="3" t="s">
        <v>108</v>
      </c>
      <c r="AC205" s="5" t="s">
        <v>55</v>
      </c>
      <c r="AD205" s="4" t="s">
        <v>44</v>
      </c>
      <c r="AE205" t="s">
        <v>193</v>
      </c>
      <c r="AF205" t="s">
        <v>194</v>
      </c>
    </row>
    <row r="206" spans="1:32">
      <c r="A206" s="1" t="s">
        <v>190</v>
      </c>
      <c r="B206" t="s">
        <v>51</v>
      </c>
      <c r="C206" s="3">
        <v>336000</v>
      </c>
      <c r="D206" s="3">
        <v>293714</v>
      </c>
      <c r="E206" s="3">
        <v>59170</v>
      </c>
      <c r="F206" s="3">
        <v>0</v>
      </c>
      <c r="G206" s="3">
        <v>65805</v>
      </c>
      <c r="H206" s="3">
        <v>0</v>
      </c>
      <c r="I206" s="3"/>
      <c r="J206" s="3">
        <v>0</v>
      </c>
      <c r="K206" s="3"/>
      <c r="L206" s="3"/>
      <c r="M206" s="3">
        <v>22597</v>
      </c>
      <c r="N206" s="3"/>
      <c r="O206" s="3">
        <v>290806</v>
      </c>
      <c r="P206" s="3">
        <v>23680</v>
      </c>
      <c r="Q206" s="3">
        <v>322154</v>
      </c>
      <c r="R206" s="3" t="s">
        <v>40</v>
      </c>
      <c r="S206">
        <v>2</v>
      </c>
      <c r="T206">
        <v>0</v>
      </c>
      <c r="U206" s="3">
        <v>35000</v>
      </c>
      <c r="V206" s="3"/>
      <c r="W206" s="3">
        <v>0</v>
      </c>
      <c r="X206" s="3" t="s">
        <v>191</v>
      </c>
      <c r="Y206" s="3">
        <v>1800</v>
      </c>
      <c r="Z206" s="3" t="s">
        <v>115</v>
      </c>
      <c r="AA206" t="s">
        <v>192</v>
      </c>
      <c r="AB206" s="3" t="s">
        <v>108</v>
      </c>
      <c r="AC206" s="5" t="s">
        <v>55</v>
      </c>
      <c r="AD206" s="4" t="s">
        <v>44</v>
      </c>
      <c r="AE206" t="s">
        <v>193</v>
      </c>
      <c r="AF206" t="s">
        <v>194</v>
      </c>
    </row>
    <row r="207" spans="1:32">
      <c r="A207" s="1" t="s">
        <v>190</v>
      </c>
      <c r="B207" s="13" t="s">
        <v>62</v>
      </c>
      <c r="C207" s="12">
        <v>238301</v>
      </c>
      <c r="D207" s="12">
        <v>195038</v>
      </c>
      <c r="E207" s="12">
        <v>54359</v>
      </c>
      <c r="F207" s="12">
        <v>0</v>
      </c>
      <c r="G207" s="12">
        <v>36009</v>
      </c>
      <c r="H207" s="12">
        <v>0</v>
      </c>
      <c r="I207" s="12"/>
      <c r="J207" s="12">
        <v>0</v>
      </c>
      <c r="K207" s="12"/>
      <c r="L207" s="12"/>
      <c r="M207" s="12">
        <v>22597</v>
      </c>
      <c r="N207" s="12"/>
      <c r="O207" s="12">
        <v>193106</v>
      </c>
      <c r="P207" s="12">
        <v>19310</v>
      </c>
      <c r="Q207" s="12">
        <v>251814</v>
      </c>
      <c r="R207" s="12" t="s">
        <v>40</v>
      </c>
      <c r="S207">
        <v>2</v>
      </c>
      <c r="T207">
        <v>0</v>
      </c>
      <c r="U207" s="3">
        <v>35000</v>
      </c>
      <c r="V207" s="3"/>
      <c r="W207" s="3">
        <v>0</v>
      </c>
      <c r="X207" s="3" t="s">
        <v>191</v>
      </c>
      <c r="Y207" s="3">
        <v>1800</v>
      </c>
      <c r="Z207" s="3" t="s">
        <v>115</v>
      </c>
      <c r="AA207" t="s">
        <v>192</v>
      </c>
      <c r="AB207" s="3" t="s">
        <v>108</v>
      </c>
      <c r="AC207" s="5" t="s">
        <v>55</v>
      </c>
      <c r="AD207" s="4" t="s">
        <v>44</v>
      </c>
      <c r="AE207" t="s">
        <v>193</v>
      </c>
      <c r="AF207" t="s">
        <v>194</v>
      </c>
    </row>
    <row r="208" spans="1:32">
      <c r="A208" s="1" t="s">
        <v>190</v>
      </c>
      <c r="B208" s="13" t="s">
        <v>63</v>
      </c>
      <c r="C208" s="12">
        <v>301303</v>
      </c>
      <c r="D208" s="12">
        <v>258670</v>
      </c>
      <c r="E208" s="12">
        <v>54359</v>
      </c>
      <c r="F208" s="12">
        <v>0</v>
      </c>
      <c r="G208" s="12">
        <v>45011</v>
      </c>
      <c r="H208" s="12">
        <v>0</v>
      </c>
      <c r="I208" s="12"/>
      <c r="J208" s="12">
        <v>0</v>
      </c>
      <c r="K208" s="12"/>
      <c r="L208" s="12"/>
      <c r="M208" s="12">
        <v>301302</v>
      </c>
      <c r="N208" s="12"/>
      <c r="O208" s="12">
        <v>256108</v>
      </c>
      <c r="P208" s="12">
        <v>20210</v>
      </c>
      <c r="Q208" s="12">
        <v>336596</v>
      </c>
      <c r="R208" s="12" t="s">
        <v>40</v>
      </c>
      <c r="S208">
        <v>2</v>
      </c>
      <c r="T208">
        <v>0</v>
      </c>
      <c r="U208" s="3">
        <v>35000</v>
      </c>
      <c r="V208" s="3"/>
      <c r="W208" s="3">
        <v>0</v>
      </c>
      <c r="X208" s="3" t="s">
        <v>191</v>
      </c>
      <c r="Y208" s="3">
        <v>1800</v>
      </c>
      <c r="Z208" s="3" t="s">
        <v>115</v>
      </c>
      <c r="AA208" t="s">
        <v>192</v>
      </c>
      <c r="AB208" s="3" t="s">
        <v>108</v>
      </c>
      <c r="AC208" s="5" t="s">
        <v>55</v>
      </c>
      <c r="AD208" s="4" t="s">
        <v>44</v>
      </c>
      <c r="AE208" t="s">
        <v>193</v>
      </c>
      <c r="AF208" t="s">
        <v>194</v>
      </c>
    </row>
    <row r="209" spans="1:32">
      <c r="A209" s="1" t="s">
        <v>190</v>
      </c>
      <c r="B209" s="13" t="s">
        <v>121</v>
      </c>
      <c r="C209" s="12">
        <v>307798</v>
      </c>
      <c r="D209" s="12">
        <v>265230</v>
      </c>
      <c r="E209" s="12">
        <v>59170</v>
      </c>
      <c r="F209" s="12">
        <v>0</v>
      </c>
      <c r="G209" s="12">
        <v>37603</v>
      </c>
      <c r="H209" s="12">
        <v>0</v>
      </c>
      <c r="I209" s="12"/>
      <c r="J209" s="12">
        <v>0</v>
      </c>
      <c r="K209" s="12"/>
      <c r="L209" s="12"/>
      <c r="M209" s="12">
        <v>22597</v>
      </c>
      <c r="N209" s="12"/>
      <c r="O209" s="12">
        <v>262604</v>
      </c>
      <c r="P209" s="12">
        <v>20860</v>
      </c>
      <c r="Q209" s="12">
        <v>343781</v>
      </c>
      <c r="R209" s="12" t="s">
        <v>40</v>
      </c>
      <c r="S209">
        <v>2</v>
      </c>
      <c r="T209">
        <v>0</v>
      </c>
      <c r="U209" s="3">
        <v>35000</v>
      </c>
      <c r="V209" s="3"/>
      <c r="W209" s="3">
        <v>0</v>
      </c>
      <c r="X209" s="3" t="s">
        <v>191</v>
      </c>
      <c r="Y209" s="3">
        <v>1800</v>
      </c>
      <c r="Z209" s="3" t="s">
        <v>115</v>
      </c>
      <c r="AA209" t="s">
        <v>192</v>
      </c>
      <c r="AB209" s="3" t="s">
        <v>108</v>
      </c>
      <c r="AC209" s="5" t="s">
        <v>55</v>
      </c>
      <c r="AD209" s="4" t="s">
        <v>44</v>
      </c>
      <c r="AE209" t="s">
        <v>193</v>
      </c>
      <c r="AF209" t="s">
        <v>194</v>
      </c>
    </row>
    <row r="210" spans="1:32">
      <c r="A210" s="1" t="s">
        <v>190</v>
      </c>
      <c r="B210" s="3" t="s">
        <v>73</v>
      </c>
      <c r="C210" s="12">
        <v>1762818</v>
      </c>
      <c r="D210" s="12">
        <v>240600</v>
      </c>
      <c r="E210" s="12">
        <v>160593</v>
      </c>
      <c r="F210" s="12">
        <v>110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 t="s">
        <v>40</v>
      </c>
      <c r="S210">
        <v>2</v>
      </c>
      <c r="T210">
        <v>0</v>
      </c>
      <c r="U210" s="3">
        <v>35000</v>
      </c>
      <c r="V210" s="3"/>
      <c r="W210" s="3">
        <v>0</v>
      </c>
      <c r="X210" s="3" t="s">
        <v>191</v>
      </c>
      <c r="Y210" s="3">
        <v>1800</v>
      </c>
      <c r="Z210" s="3" t="s">
        <v>115</v>
      </c>
      <c r="AA210" t="s">
        <v>192</v>
      </c>
      <c r="AB210" s="3" t="s">
        <v>108</v>
      </c>
      <c r="AC210" s="5" t="s">
        <v>55</v>
      </c>
      <c r="AD210" s="4" t="s">
        <v>44</v>
      </c>
      <c r="AE210" t="s">
        <v>193</v>
      </c>
      <c r="AF210" t="s">
        <v>194</v>
      </c>
    </row>
    <row r="211" spans="1:32">
      <c r="A211" s="1" t="s">
        <v>190</v>
      </c>
      <c r="B211" s="34" t="s">
        <v>75</v>
      </c>
      <c r="C211" s="34">
        <v>428922</v>
      </c>
      <c r="D211" s="34">
        <v>257229</v>
      </c>
      <c r="E211" s="34">
        <v>64512</v>
      </c>
      <c r="F211" s="34">
        <v>8700</v>
      </c>
      <c r="G211" s="34">
        <v>45875</v>
      </c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 t="s">
        <v>40</v>
      </c>
      <c r="S211">
        <v>2</v>
      </c>
      <c r="T211">
        <v>0</v>
      </c>
      <c r="U211" s="3">
        <v>35000</v>
      </c>
      <c r="V211" s="3"/>
      <c r="W211" s="3">
        <v>0</v>
      </c>
      <c r="X211" s="3" t="s">
        <v>191</v>
      </c>
      <c r="Y211" s="3">
        <v>1800</v>
      </c>
      <c r="Z211" s="3" t="s">
        <v>115</v>
      </c>
      <c r="AA211" t="s">
        <v>192</v>
      </c>
      <c r="AB211" s="3" t="s">
        <v>108</v>
      </c>
      <c r="AC211" s="5" t="s">
        <v>55</v>
      </c>
      <c r="AD211" s="4" t="s">
        <v>44</v>
      </c>
      <c r="AE211" t="s">
        <v>193</v>
      </c>
      <c r="AF211" t="s">
        <v>194</v>
      </c>
    </row>
    <row r="212" spans="1:32">
      <c r="A212" s="1" t="s">
        <v>190</v>
      </c>
      <c r="B212" s="38" t="s">
        <v>78</v>
      </c>
      <c r="C212" s="38">
        <v>1336675</v>
      </c>
      <c r="D212" s="38">
        <v>198642</v>
      </c>
      <c r="E212" s="38">
        <v>62966</v>
      </c>
      <c r="F212" s="38">
        <v>8809</v>
      </c>
      <c r="G212" s="38">
        <v>44691</v>
      </c>
      <c r="H212" s="42">
        <v>0</v>
      </c>
      <c r="I212" s="42"/>
      <c r="J212" s="42">
        <v>0</v>
      </c>
      <c r="K212" s="42"/>
      <c r="L212" s="42"/>
      <c r="M212" s="38">
        <v>210000</v>
      </c>
      <c r="N212" s="38"/>
      <c r="O212" s="42">
        <v>196675</v>
      </c>
      <c r="P212" s="42">
        <v>19667</v>
      </c>
      <c r="Q212" s="42">
        <v>255311</v>
      </c>
      <c r="R212" s="42" t="s">
        <v>40</v>
      </c>
      <c r="S212">
        <v>2</v>
      </c>
      <c r="T212">
        <v>0</v>
      </c>
      <c r="U212" s="3">
        <v>35000</v>
      </c>
      <c r="V212" s="3">
        <v>6</v>
      </c>
      <c r="W212" s="3">
        <v>0</v>
      </c>
      <c r="X212" s="3" t="s">
        <v>191</v>
      </c>
      <c r="Y212" s="3">
        <v>1800</v>
      </c>
      <c r="Z212" s="3" t="s">
        <v>115</v>
      </c>
      <c r="AA212" t="s">
        <v>192</v>
      </c>
      <c r="AB212" s="3" t="s">
        <v>108</v>
      </c>
      <c r="AC212" s="5" t="s">
        <v>55</v>
      </c>
      <c r="AD212" s="4" t="s">
        <v>44</v>
      </c>
      <c r="AE212" t="s">
        <v>193</v>
      </c>
      <c r="AF212" t="s">
        <v>194</v>
      </c>
    </row>
    <row r="213" spans="1:32">
      <c r="A213" s="1" t="s">
        <v>190</v>
      </c>
      <c r="B213" t="s">
        <v>82</v>
      </c>
      <c r="C213" s="3">
        <v>1458923</v>
      </c>
      <c r="D213" s="3">
        <v>322112</v>
      </c>
      <c r="E213" s="3">
        <v>60046</v>
      </c>
      <c r="F213" s="3">
        <v>8497</v>
      </c>
      <c r="G213" s="3">
        <v>57487</v>
      </c>
      <c r="H213" s="3">
        <v>0</v>
      </c>
      <c r="I213" s="3"/>
      <c r="J213" s="3">
        <v>0</v>
      </c>
      <c r="K213" s="3"/>
      <c r="L213" s="3"/>
      <c r="M213" s="38">
        <v>210000</v>
      </c>
      <c r="N213" s="38"/>
      <c r="O213" s="3">
        <v>318923</v>
      </c>
      <c r="P213" s="3">
        <v>26492</v>
      </c>
      <c r="Q213" s="3">
        <v>414743</v>
      </c>
      <c r="R213" s="3" t="s">
        <v>40</v>
      </c>
      <c r="S213">
        <v>2</v>
      </c>
      <c r="T213">
        <v>0</v>
      </c>
      <c r="U213" s="3">
        <v>35000</v>
      </c>
      <c r="V213" s="3">
        <v>6</v>
      </c>
      <c r="W213" s="3">
        <v>0</v>
      </c>
      <c r="X213" s="3" t="s">
        <v>191</v>
      </c>
      <c r="Y213" s="3">
        <v>1800</v>
      </c>
      <c r="Z213" s="3" t="s">
        <v>115</v>
      </c>
      <c r="AA213" t="s">
        <v>192</v>
      </c>
      <c r="AB213" s="3" t="s">
        <v>108</v>
      </c>
      <c r="AC213" s="5" t="s">
        <v>55</v>
      </c>
      <c r="AD213" s="4" t="s">
        <v>44</v>
      </c>
      <c r="AE213" t="s">
        <v>193</v>
      </c>
      <c r="AF213" t="s">
        <v>194</v>
      </c>
    </row>
    <row r="214" spans="1:32">
      <c r="A214" s="1" t="s">
        <v>190</v>
      </c>
      <c r="B214" t="s">
        <v>83</v>
      </c>
      <c r="C214" s="3">
        <v>1448303</v>
      </c>
      <c r="D214" s="3">
        <v>311386</v>
      </c>
      <c r="E214" s="3">
        <v>60046</v>
      </c>
      <c r="F214" s="3">
        <v>8497</v>
      </c>
      <c r="G214" s="3">
        <v>46867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 t="s">
        <v>40</v>
      </c>
      <c r="S214">
        <v>2</v>
      </c>
      <c r="T214">
        <v>0</v>
      </c>
      <c r="U214" s="3">
        <v>35000</v>
      </c>
      <c r="V214" s="3">
        <v>6</v>
      </c>
      <c r="W214" s="3">
        <v>0</v>
      </c>
      <c r="X214" s="3" t="s">
        <v>191</v>
      </c>
      <c r="Y214" s="3">
        <v>1800</v>
      </c>
      <c r="Z214" s="3" t="s">
        <v>115</v>
      </c>
      <c r="AA214" t="s">
        <v>192</v>
      </c>
      <c r="AB214" s="3" t="s">
        <v>108</v>
      </c>
      <c r="AC214" s="5" t="s">
        <v>55</v>
      </c>
      <c r="AD214" s="4" t="s">
        <v>44</v>
      </c>
      <c r="AE214" t="s">
        <v>193</v>
      </c>
      <c r="AF214" t="s">
        <v>194</v>
      </c>
    </row>
    <row r="215" spans="1:32">
      <c r="A215" s="1" t="s">
        <v>190</v>
      </c>
      <c r="B215" t="s">
        <v>84</v>
      </c>
      <c r="C215" s="3">
        <v>1448303</v>
      </c>
      <c r="D215" s="3">
        <v>311386</v>
      </c>
      <c r="E215" s="3">
        <v>60046</v>
      </c>
      <c r="F215" s="3">
        <v>8497</v>
      </c>
      <c r="G215" s="3">
        <v>46867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 t="s">
        <v>40</v>
      </c>
      <c r="S215">
        <v>2</v>
      </c>
      <c r="T215">
        <v>0</v>
      </c>
      <c r="U215" s="3">
        <v>35000</v>
      </c>
      <c r="V215" s="3">
        <v>6</v>
      </c>
      <c r="W215" s="3">
        <v>0</v>
      </c>
      <c r="X215" s="3" t="s">
        <v>191</v>
      </c>
      <c r="Y215" s="3">
        <v>1800</v>
      </c>
      <c r="Z215" s="3" t="s">
        <v>115</v>
      </c>
      <c r="AA215" t="s">
        <v>192</v>
      </c>
      <c r="AB215" s="3" t="s">
        <v>108</v>
      </c>
      <c r="AC215" s="5" t="s">
        <v>55</v>
      </c>
      <c r="AD215" s="4" t="s">
        <v>44</v>
      </c>
      <c r="AE215" t="s">
        <v>193</v>
      </c>
      <c r="AF215" t="s">
        <v>194</v>
      </c>
    </row>
    <row r="216" spans="1:32">
      <c r="A216" s="1" t="s">
        <v>190</v>
      </c>
      <c r="B216" s="43" t="s">
        <v>85</v>
      </c>
      <c r="C216" s="44">
        <v>1445836</v>
      </c>
      <c r="D216" s="44">
        <v>308894</v>
      </c>
      <c r="E216" s="44">
        <v>60046</v>
      </c>
      <c r="F216" s="44">
        <v>8497</v>
      </c>
      <c r="G216" s="44">
        <v>44400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 t="s">
        <v>40</v>
      </c>
      <c r="S216">
        <v>2</v>
      </c>
      <c r="T216">
        <v>0</v>
      </c>
      <c r="U216" s="3">
        <v>35000</v>
      </c>
      <c r="V216" s="3">
        <v>6</v>
      </c>
      <c r="W216" s="3">
        <v>0</v>
      </c>
      <c r="X216" s="3" t="s">
        <v>191</v>
      </c>
      <c r="Y216" s="3">
        <v>1800</v>
      </c>
      <c r="Z216" s="3" t="s">
        <v>115</v>
      </c>
      <c r="AA216" t="s">
        <v>192</v>
      </c>
      <c r="AB216" s="3" t="s">
        <v>108</v>
      </c>
      <c r="AC216" s="5" t="s">
        <v>55</v>
      </c>
      <c r="AD216" s="4" t="s">
        <v>44</v>
      </c>
      <c r="AE216" t="s">
        <v>193</v>
      </c>
      <c r="AF216" t="s">
        <v>194</v>
      </c>
    </row>
    <row r="217" spans="1:32">
      <c r="A217" s="1" t="s">
        <v>190</v>
      </c>
      <c r="B217" s="45" t="s">
        <v>86</v>
      </c>
      <c r="C217" s="46"/>
      <c r="D217" s="46"/>
      <c r="E217" s="46"/>
      <c r="F217" s="46"/>
      <c r="G217" s="4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 t="s">
        <v>40</v>
      </c>
      <c r="S217">
        <v>2</v>
      </c>
      <c r="T217">
        <v>0</v>
      </c>
      <c r="U217" s="3">
        <v>35000</v>
      </c>
      <c r="V217" s="3">
        <v>6</v>
      </c>
      <c r="W217" s="3">
        <v>0</v>
      </c>
      <c r="X217" s="3" t="s">
        <v>191</v>
      </c>
      <c r="Y217" s="3">
        <v>1800</v>
      </c>
      <c r="Z217" s="3" t="s">
        <v>115</v>
      </c>
      <c r="AA217" t="s">
        <v>192</v>
      </c>
      <c r="AB217" s="3" t="s">
        <v>108</v>
      </c>
      <c r="AC217" s="5" t="s">
        <v>55</v>
      </c>
      <c r="AD217" s="4" t="s">
        <v>44</v>
      </c>
      <c r="AE217" t="s">
        <v>193</v>
      </c>
      <c r="AF217" t="s">
        <v>194</v>
      </c>
    </row>
    <row r="218" spans="1:32">
      <c r="A218" s="1" t="s">
        <v>190</v>
      </c>
      <c r="B218" t="s">
        <v>91</v>
      </c>
      <c r="C218" s="3">
        <v>1518373</v>
      </c>
      <c r="D218" s="3">
        <v>382157</v>
      </c>
      <c r="E218" s="3">
        <v>60079</v>
      </c>
      <c r="F218" s="3">
        <v>10904</v>
      </c>
      <c r="G218" s="3">
        <v>88237</v>
      </c>
      <c r="H218" s="3">
        <v>9500</v>
      </c>
      <c r="I218" s="3"/>
      <c r="J218" s="3"/>
      <c r="K218" s="3"/>
      <c r="L218" s="3"/>
      <c r="M218" s="3"/>
      <c r="N218" s="3"/>
      <c r="O218" s="3"/>
      <c r="P218" s="3"/>
      <c r="Q218" s="3"/>
      <c r="R218" s="3" t="s">
        <v>40</v>
      </c>
      <c r="S218">
        <v>2</v>
      </c>
      <c r="T218">
        <v>0</v>
      </c>
      <c r="U218" s="3">
        <v>35000</v>
      </c>
      <c r="V218" s="3">
        <v>6</v>
      </c>
      <c r="W218" s="3">
        <v>0</v>
      </c>
      <c r="X218" s="3" t="s">
        <v>191</v>
      </c>
      <c r="Y218" s="3">
        <v>1800</v>
      </c>
      <c r="Z218" s="3" t="s">
        <v>115</v>
      </c>
      <c r="AA218" t="s">
        <v>192</v>
      </c>
      <c r="AB218" s="3" t="s">
        <v>108</v>
      </c>
      <c r="AC218" s="5" t="s">
        <v>55</v>
      </c>
      <c r="AD218" s="4" t="s">
        <v>44</v>
      </c>
      <c r="AE218" t="s">
        <v>193</v>
      </c>
      <c r="AF218" t="s">
        <v>194</v>
      </c>
    </row>
    <row r="219" spans="1:32">
      <c r="A219" s="1" t="s">
        <v>190</v>
      </c>
      <c r="B219" s="36" t="s">
        <v>97</v>
      </c>
      <c r="C219" s="3">
        <v>2320384</v>
      </c>
      <c r="D219" s="3">
        <v>303387</v>
      </c>
      <c r="E219" s="3">
        <v>58067</v>
      </c>
      <c r="F219" s="3">
        <v>9810</v>
      </c>
      <c r="G219" s="3"/>
      <c r="H219" s="3">
        <v>39428</v>
      </c>
      <c r="I219" s="3"/>
      <c r="J219" s="3">
        <v>0</v>
      </c>
      <c r="K219" s="3"/>
      <c r="L219" s="3"/>
      <c r="M219" s="3">
        <v>210000</v>
      </c>
      <c r="N219" s="3">
        <v>1600000</v>
      </c>
      <c r="O219" s="3">
        <v>300383</v>
      </c>
      <c r="P219" s="3">
        <v>215865</v>
      </c>
      <c r="Q219" s="3">
        <v>84518</v>
      </c>
      <c r="R219" s="3" t="s">
        <v>40</v>
      </c>
      <c r="S219">
        <v>2</v>
      </c>
      <c r="T219">
        <v>0</v>
      </c>
      <c r="U219" s="3">
        <v>35000</v>
      </c>
      <c r="V219" s="3">
        <v>6</v>
      </c>
      <c r="W219" s="3">
        <v>0</v>
      </c>
      <c r="X219" s="3" t="s">
        <v>191</v>
      </c>
      <c r="Y219" s="3">
        <v>1</v>
      </c>
      <c r="Z219" s="3" t="s">
        <v>115</v>
      </c>
      <c r="AA219" t="s">
        <v>192</v>
      </c>
      <c r="AB219" s="3" t="s">
        <v>108</v>
      </c>
      <c r="AC219" s="5" t="s">
        <v>55</v>
      </c>
      <c r="AD219" s="4" t="s">
        <v>44</v>
      </c>
      <c r="AE219" t="s">
        <v>193</v>
      </c>
      <c r="AF219" t="s">
        <v>194</v>
      </c>
    </row>
    <row r="220" spans="1:32">
      <c r="A220" s="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U220" s="3"/>
      <c r="V220" s="3"/>
      <c r="W220" s="3"/>
      <c r="X220" s="3"/>
      <c r="Y220" s="3"/>
      <c r="Z220" s="3"/>
      <c r="AB220" s="3"/>
      <c r="AC220" s="5"/>
      <c r="AD220" s="4"/>
    </row>
    <row r="221" spans="1:32">
      <c r="A221" s="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U221" s="3"/>
      <c r="V221" s="3"/>
      <c r="W221" s="3"/>
      <c r="X221" s="3"/>
      <c r="Y221" s="3"/>
      <c r="Z221" s="3"/>
      <c r="AB221" s="3"/>
      <c r="AC221" s="5"/>
      <c r="AD221" s="4"/>
    </row>
    <row r="222" spans="1:32" s="51" customFormat="1" ht="15.95">
      <c r="A222" s="71" t="s">
        <v>195</v>
      </c>
      <c r="B222" s="50" t="s">
        <v>113</v>
      </c>
      <c r="E222" s="51">
        <v>23000</v>
      </c>
      <c r="F222" s="51">
        <v>0</v>
      </c>
      <c r="G222" s="34">
        <v>55000</v>
      </c>
      <c r="H222" s="51">
        <v>0</v>
      </c>
      <c r="J222" s="51">
        <v>0</v>
      </c>
      <c r="U222" s="34"/>
      <c r="V222" s="34"/>
      <c r="Z222" s="34"/>
      <c r="AC222" s="34"/>
      <c r="AD222" s="34"/>
      <c r="AE222" s="51" t="s">
        <v>193</v>
      </c>
      <c r="AF222" s="51" t="s">
        <v>194</v>
      </c>
    </row>
    <row r="223" spans="1:32" s="8" customFormat="1">
      <c r="A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2" s="36" customFormat="1">
      <c r="A224" s="35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</row>
    <row r="225" spans="1:32">
      <c r="A225" s="1" t="s">
        <v>196</v>
      </c>
      <c r="B225" t="s">
        <v>39</v>
      </c>
      <c r="D225" s="3">
        <v>853283</v>
      </c>
      <c r="E225" s="3">
        <v>184696</v>
      </c>
      <c r="F225" s="3">
        <v>15391</v>
      </c>
      <c r="G225" s="3">
        <v>130486</v>
      </c>
      <c r="H225" s="3">
        <v>29167</v>
      </c>
      <c r="I225" s="3"/>
      <c r="J225" s="3">
        <v>0</v>
      </c>
      <c r="K225" s="3"/>
      <c r="L225" s="3"/>
      <c r="R225" t="s">
        <v>40</v>
      </c>
      <c r="S225">
        <v>6</v>
      </c>
      <c r="T225">
        <v>4</v>
      </c>
      <c r="U225">
        <v>76230</v>
      </c>
      <c r="W225">
        <v>1600</v>
      </c>
      <c r="X225" t="s">
        <v>197</v>
      </c>
      <c r="Y225">
        <v>5400</v>
      </c>
      <c r="Z225" t="s">
        <v>198</v>
      </c>
      <c r="AA225" t="s">
        <v>192</v>
      </c>
      <c r="AB225" s="3" t="s">
        <v>199</v>
      </c>
      <c r="AC225" s="4" t="s">
        <v>44</v>
      </c>
      <c r="AD225" s="4" t="s">
        <v>44</v>
      </c>
      <c r="AE225" t="s">
        <v>200</v>
      </c>
      <c r="AF225" t="s">
        <v>201</v>
      </c>
    </row>
    <row r="226" spans="1:32">
      <c r="A226" s="1" t="s">
        <v>196</v>
      </c>
      <c r="B226" t="s">
        <v>120</v>
      </c>
      <c r="D226" s="3">
        <v>851854</v>
      </c>
      <c r="E226" s="3">
        <v>184323</v>
      </c>
      <c r="F226" s="3">
        <v>15360</v>
      </c>
      <c r="G226" s="3">
        <v>130332</v>
      </c>
      <c r="H226" s="3">
        <v>29108</v>
      </c>
      <c r="I226" s="3"/>
      <c r="J226" s="3">
        <v>0</v>
      </c>
      <c r="K226" s="3"/>
      <c r="L226" s="3"/>
      <c r="R226" t="s">
        <v>40</v>
      </c>
      <c r="S226">
        <v>6</v>
      </c>
      <c r="T226">
        <v>4</v>
      </c>
      <c r="U226">
        <v>76230</v>
      </c>
      <c r="W226">
        <v>1600</v>
      </c>
      <c r="X226" t="s">
        <v>197</v>
      </c>
      <c r="Y226">
        <v>5400</v>
      </c>
      <c r="Z226" t="s">
        <v>198</v>
      </c>
      <c r="AA226" t="s">
        <v>192</v>
      </c>
      <c r="AB226" s="3" t="s">
        <v>199</v>
      </c>
      <c r="AC226" s="4" t="s">
        <v>44</v>
      </c>
      <c r="AD226" s="4" t="s">
        <v>44</v>
      </c>
      <c r="AE226" t="s">
        <v>200</v>
      </c>
      <c r="AF226" t="s">
        <v>201</v>
      </c>
    </row>
    <row r="227" spans="1:32">
      <c r="A227" s="1" t="s">
        <v>196</v>
      </c>
      <c r="B227" t="s">
        <v>202</v>
      </c>
      <c r="D227" s="3">
        <v>853917</v>
      </c>
      <c r="E227" s="3">
        <v>184861</v>
      </c>
      <c r="F227" s="3">
        <v>15405</v>
      </c>
      <c r="G227" s="3">
        <v>130555</v>
      </c>
      <c r="H227" s="3">
        <v>29193</v>
      </c>
      <c r="I227" s="3"/>
      <c r="J227" s="3">
        <v>0</v>
      </c>
      <c r="K227" s="3"/>
      <c r="L227" s="3"/>
      <c r="R227" t="s">
        <v>40</v>
      </c>
      <c r="S227">
        <v>6</v>
      </c>
      <c r="T227">
        <v>4</v>
      </c>
      <c r="U227">
        <v>76230</v>
      </c>
      <c r="W227">
        <v>1600</v>
      </c>
      <c r="X227" t="s">
        <v>197</v>
      </c>
      <c r="Y227">
        <v>5400</v>
      </c>
      <c r="Z227" t="s">
        <v>198</v>
      </c>
      <c r="AA227" t="s">
        <v>192</v>
      </c>
      <c r="AB227" s="3" t="s">
        <v>199</v>
      </c>
      <c r="AC227" s="4" t="s">
        <v>44</v>
      </c>
      <c r="AD227" s="5" t="s">
        <v>55</v>
      </c>
      <c r="AE227" t="s">
        <v>200</v>
      </c>
      <c r="AF227" t="s">
        <v>201</v>
      </c>
    </row>
    <row r="228" spans="1:32">
      <c r="A228" s="1" t="s">
        <v>196</v>
      </c>
      <c r="B228" t="s">
        <v>203</v>
      </c>
      <c r="C228" s="3">
        <v>795272</v>
      </c>
      <c r="D228" s="3">
        <v>753281</v>
      </c>
      <c r="E228" s="3">
        <v>184869</v>
      </c>
      <c r="F228" s="3">
        <v>15405</v>
      </c>
      <c r="G228" s="3">
        <v>120887</v>
      </c>
      <c r="H228" s="3">
        <v>29194</v>
      </c>
      <c r="I228" s="3"/>
      <c r="J228" s="3">
        <v>0</v>
      </c>
      <c r="K228" s="3"/>
      <c r="L228" s="3"/>
      <c r="M228" s="3">
        <v>795272</v>
      </c>
      <c r="N228" s="3"/>
      <c r="O228" s="3">
        <v>745822</v>
      </c>
      <c r="P228" s="3">
        <v>74582</v>
      </c>
      <c r="Q228" s="3">
        <v>995236</v>
      </c>
      <c r="R228" t="s">
        <v>40</v>
      </c>
      <c r="S228" s="3">
        <v>6</v>
      </c>
      <c r="T228" s="3">
        <v>4</v>
      </c>
      <c r="U228">
        <v>76230</v>
      </c>
      <c r="W228">
        <v>1600</v>
      </c>
      <c r="X228" t="s">
        <v>197</v>
      </c>
      <c r="Y228">
        <v>5400</v>
      </c>
      <c r="Z228" t="s">
        <v>198</v>
      </c>
      <c r="AA228" t="s">
        <v>192</v>
      </c>
      <c r="AB228" s="3" t="s">
        <v>199</v>
      </c>
      <c r="AC228" s="4" t="s">
        <v>44</v>
      </c>
      <c r="AD228" s="4" t="s">
        <v>44</v>
      </c>
      <c r="AE228" t="s">
        <v>200</v>
      </c>
      <c r="AF228" t="s">
        <v>201</v>
      </c>
    </row>
    <row r="229" spans="1:32">
      <c r="A229" s="1" t="s">
        <v>196</v>
      </c>
      <c r="B229" s="18" t="s">
        <v>70</v>
      </c>
      <c r="C229" s="18">
        <v>2376272</v>
      </c>
      <c r="D229" s="18">
        <v>860189</v>
      </c>
      <c r="E229" s="18">
        <v>205307</v>
      </c>
      <c r="F229" s="18">
        <v>-6029</v>
      </c>
      <c r="G229" s="18">
        <v>167815</v>
      </c>
      <c r="H229" s="18">
        <v>114575</v>
      </c>
      <c r="I229" s="18"/>
      <c r="J229" s="18">
        <v>0</v>
      </c>
      <c r="K229" s="18"/>
      <c r="L229" s="18"/>
      <c r="M229" s="18">
        <v>762300</v>
      </c>
      <c r="N229" s="18"/>
      <c r="O229" s="18">
        <v>851671.82</v>
      </c>
      <c r="P229" s="18">
        <v>85167.152000000002</v>
      </c>
      <c r="Q229" s="18">
        <v>1186123.2413999999</v>
      </c>
      <c r="R229" s="18" t="s">
        <v>40</v>
      </c>
      <c r="S229" s="3">
        <v>6</v>
      </c>
      <c r="T229" s="3">
        <v>4</v>
      </c>
      <c r="U229">
        <v>76230</v>
      </c>
      <c r="W229">
        <v>1600</v>
      </c>
      <c r="X229" t="s">
        <v>197</v>
      </c>
      <c r="Y229">
        <v>5400</v>
      </c>
      <c r="Z229" t="s">
        <v>198</v>
      </c>
      <c r="AA229" t="s">
        <v>192</v>
      </c>
      <c r="AB229" s="3" t="s">
        <v>199</v>
      </c>
      <c r="AC229" s="4" t="s">
        <v>44</v>
      </c>
      <c r="AD229" s="4" t="s">
        <v>44</v>
      </c>
      <c r="AE229" t="s">
        <v>200</v>
      </c>
    </row>
    <row r="230" spans="1:32">
      <c r="A230" s="1" t="s">
        <v>196</v>
      </c>
      <c r="B230" s="20" t="s">
        <v>71</v>
      </c>
      <c r="C230" s="18">
        <v>2283981</v>
      </c>
      <c r="D230" s="18">
        <v>766975</v>
      </c>
      <c r="E230" s="18">
        <v>172901</v>
      </c>
      <c r="F230" s="18">
        <v>1910</v>
      </c>
      <c r="G230" s="18">
        <v>167815</v>
      </c>
      <c r="H230" s="18">
        <v>84261</v>
      </c>
      <c r="I230" s="18"/>
      <c r="J230" s="18">
        <v>0</v>
      </c>
      <c r="K230" s="18"/>
      <c r="L230" s="18"/>
      <c r="M230" s="18">
        <v>762300</v>
      </c>
      <c r="N230" s="18"/>
      <c r="O230" s="18">
        <v>759381</v>
      </c>
      <c r="P230" s="23">
        <v>75938</v>
      </c>
      <c r="Q230" s="18">
        <v>1068914</v>
      </c>
      <c r="R230" s="18" t="s">
        <v>40</v>
      </c>
      <c r="S230" s="3">
        <v>6</v>
      </c>
      <c r="T230" s="3">
        <v>4</v>
      </c>
      <c r="U230">
        <v>76230</v>
      </c>
      <c r="W230">
        <v>1600</v>
      </c>
      <c r="X230" t="s">
        <v>197</v>
      </c>
      <c r="Y230">
        <v>5400</v>
      </c>
      <c r="Z230" t="s">
        <v>198</v>
      </c>
      <c r="AA230" t="s">
        <v>192</v>
      </c>
      <c r="AB230" s="3" t="s">
        <v>199</v>
      </c>
      <c r="AC230" s="4" t="s">
        <v>44</v>
      </c>
      <c r="AD230" s="4" t="s">
        <v>44</v>
      </c>
      <c r="AE230" t="s">
        <v>200</v>
      </c>
    </row>
    <row r="231" spans="1:32">
      <c r="A231" s="1" t="s">
        <v>196</v>
      </c>
      <c r="B231" t="s">
        <v>204</v>
      </c>
      <c r="C231" s="3">
        <v>2211592</v>
      </c>
      <c r="D231" s="3">
        <v>693862</v>
      </c>
      <c r="E231" s="3">
        <v>147853</v>
      </c>
      <c r="F231" s="3">
        <v>1910</v>
      </c>
      <c r="R231" t="s">
        <v>40</v>
      </c>
      <c r="S231" s="3">
        <v>6</v>
      </c>
      <c r="T231" s="3">
        <v>4</v>
      </c>
      <c r="U231">
        <v>76230</v>
      </c>
      <c r="W231">
        <v>1600</v>
      </c>
      <c r="X231" t="s">
        <v>197</v>
      </c>
      <c r="Y231">
        <v>5400</v>
      </c>
      <c r="Z231" t="s">
        <v>198</v>
      </c>
      <c r="AA231" t="s">
        <v>192</v>
      </c>
      <c r="AB231" s="3" t="s">
        <v>199</v>
      </c>
      <c r="AC231" s="4" t="s">
        <v>44</v>
      </c>
      <c r="AD231" s="4" t="s">
        <v>44</v>
      </c>
      <c r="AE231" t="s">
        <v>200</v>
      </c>
    </row>
    <row r="232" spans="1:32">
      <c r="A232" s="1" t="s">
        <v>196</v>
      </c>
      <c r="B232" s="3" t="s">
        <v>72</v>
      </c>
      <c r="C232" s="3">
        <v>2318663</v>
      </c>
      <c r="D232" s="3">
        <v>802004</v>
      </c>
      <c r="E232" s="3">
        <v>160593</v>
      </c>
      <c r="F232" s="3">
        <v>110</v>
      </c>
      <c r="G232" s="3">
        <v>214935</v>
      </c>
      <c r="R232" t="s">
        <v>40</v>
      </c>
      <c r="S232" s="3">
        <v>6</v>
      </c>
      <c r="T232" s="3">
        <v>4</v>
      </c>
      <c r="U232">
        <v>76230</v>
      </c>
      <c r="W232">
        <v>1600</v>
      </c>
      <c r="X232" t="s">
        <v>197</v>
      </c>
      <c r="Y232">
        <v>5400</v>
      </c>
      <c r="Z232" t="s">
        <v>198</v>
      </c>
      <c r="AA232" t="s">
        <v>192</v>
      </c>
      <c r="AB232" s="3" t="s">
        <v>199</v>
      </c>
      <c r="AC232" s="4" t="s">
        <v>44</v>
      </c>
      <c r="AD232" s="4" t="s">
        <v>44</v>
      </c>
      <c r="AE232" t="s">
        <v>200</v>
      </c>
    </row>
    <row r="233" spans="1:32">
      <c r="A233" s="1" t="s">
        <v>196</v>
      </c>
      <c r="B233" s="26" t="s">
        <v>74</v>
      </c>
      <c r="C233" s="3">
        <v>2080443</v>
      </c>
      <c r="D233" s="3">
        <v>561402</v>
      </c>
      <c r="E233" s="3">
        <v>160593</v>
      </c>
      <c r="F233" s="3">
        <v>110</v>
      </c>
      <c r="G233" s="3">
        <v>150454</v>
      </c>
      <c r="R233" t="s">
        <v>40</v>
      </c>
      <c r="S233" s="3">
        <v>6</v>
      </c>
      <c r="T233" s="3">
        <v>4</v>
      </c>
      <c r="U233">
        <v>76230</v>
      </c>
      <c r="W233">
        <v>1600</v>
      </c>
      <c r="X233" t="s">
        <v>197</v>
      </c>
      <c r="Y233">
        <v>5400</v>
      </c>
      <c r="Z233" t="s">
        <v>198</v>
      </c>
      <c r="AA233" t="s">
        <v>192</v>
      </c>
      <c r="AB233" s="3" t="s">
        <v>199</v>
      </c>
      <c r="AC233" s="4" t="s">
        <v>44</v>
      </c>
      <c r="AD233" s="4" t="s">
        <v>44</v>
      </c>
      <c r="AE233" t="s">
        <v>200</v>
      </c>
    </row>
    <row r="234" spans="1:32">
      <c r="A234" s="1" t="s">
        <v>196</v>
      </c>
      <c r="B234" s="34" t="s">
        <v>75</v>
      </c>
      <c r="C234" s="34">
        <v>2145078</v>
      </c>
      <c r="D234" s="34">
        <v>626683</v>
      </c>
      <c r="E234" s="34">
        <v>190022</v>
      </c>
      <c r="F234" s="34">
        <v>1936</v>
      </c>
      <c r="G234" s="34">
        <v>150454</v>
      </c>
      <c r="R234" t="s">
        <v>40</v>
      </c>
      <c r="S234" s="3">
        <v>6</v>
      </c>
      <c r="T234" s="3">
        <v>4</v>
      </c>
      <c r="U234">
        <v>76230</v>
      </c>
      <c r="W234">
        <v>1600</v>
      </c>
      <c r="X234" t="s">
        <v>197</v>
      </c>
      <c r="Y234">
        <v>5400</v>
      </c>
      <c r="Z234" t="s">
        <v>198</v>
      </c>
      <c r="AA234" t="s">
        <v>192</v>
      </c>
      <c r="AB234" s="3" t="s">
        <v>199</v>
      </c>
      <c r="AC234" s="4" t="s">
        <v>44</v>
      </c>
      <c r="AD234" s="4" t="s">
        <v>44</v>
      </c>
      <c r="AE234" t="s">
        <v>200</v>
      </c>
    </row>
    <row r="235" spans="1:32">
      <c r="A235" s="1" t="s">
        <v>196</v>
      </c>
      <c r="B235" s="38" t="s">
        <v>78</v>
      </c>
      <c r="C235" s="38">
        <v>3713228</v>
      </c>
      <c r="D235" s="38">
        <v>644853</v>
      </c>
      <c r="E235" s="38">
        <v>162022</v>
      </c>
      <c r="F235" s="38">
        <v>5867</v>
      </c>
      <c r="G235" s="38">
        <v>138255</v>
      </c>
      <c r="H235" s="38">
        <v>66056</v>
      </c>
      <c r="I235" s="38"/>
      <c r="J235" s="38">
        <v>0</v>
      </c>
      <c r="K235" s="38"/>
      <c r="L235" s="38"/>
      <c r="M235" s="38">
        <v>457380</v>
      </c>
      <c r="N235" s="38"/>
      <c r="O235" s="38">
        <v>638468</v>
      </c>
      <c r="P235" s="38">
        <v>54847</v>
      </c>
      <c r="Q235" s="38">
        <v>867970</v>
      </c>
      <c r="R235" s="38" t="s">
        <v>40</v>
      </c>
      <c r="S235" s="3">
        <v>6</v>
      </c>
      <c r="T235" s="3">
        <v>4</v>
      </c>
      <c r="U235">
        <v>76230</v>
      </c>
      <c r="V235">
        <v>6</v>
      </c>
      <c r="W235">
        <v>1600</v>
      </c>
      <c r="X235" t="s">
        <v>197</v>
      </c>
      <c r="Y235">
        <v>5400</v>
      </c>
      <c r="Z235" t="s">
        <v>198</v>
      </c>
      <c r="AA235" t="s">
        <v>192</v>
      </c>
      <c r="AB235" s="3" t="s">
        <v>199</v>
      </c>
      <c r="AC235" s="4" t="s">
        <v>44</v>
      </c>
      <c r="AD235" s="4" t="s">
        <v>44</v>
      </c>
      <c r="AE235" t="s">
        <v>205</v>
      </c>
    </row>
    <row r="236" spans="1:32">
      <c r="A236" s="1" t="s">
        <v>196</v>
      </c>
      <c r="B236" t="s">
        <v>82</v>
      </c>
      <c r="C236" s="3">
        <v>3903824</v>
      </c>
      <c r="D236" s="3">
        <v>837355</v>
      </c>
      <c r="E236" s="3">
        <v>152555</v>
      </c>
      <c r="F236" s="3">
        <v>5449</v>
      </c>
      <c r="G236" s="3">
        <v>18936</v>
      </c>
      <c r="H236" s="3">
        <v>89503</v>
      </c>
      <c r="I236" s="3"/>
      <c r="J236" s="38">
        <v>0</v>
      </c>
      <c r="K236" s="38"/>
      <c r="L236" s="38"/>
      <c r="M236" s="38">
        <v>457380</v>
      </c>
      <c r="N236" s="38"/>
      <c r="O236" s="3">
        <v>829064</v>
      </c>
      <c r="P236" s="3">
        <v>73906</v>
      </c>
      <c r="Q236" s="3">
        <v>1108121</v>
      </c>
      <c r="R236" t="s">
        <v>40</v>
      </c>
      <c r="S236" s="3">
        <v>6</v>
      </c>
      <c r="T236" s="3">
        <v>4</v>
      </c>
      <c r="U236">
        <v>76230</v>
      </c>
      <c r="V236">
        <v>6</v>
      </c>
      <c r="W236">
        <v>1600</v>
      </c>
      <c r="X236" t="s">
        <v>197</v>
      </c>
      <c r="Y236">
        <v>5400</v>
      </c>
      <c r="Z236" t="s">
        <v>198</v>
      </c>
      <c r="AA236" t="s">
        <v>192</v>
      </c>
      <c r="AB236" s="3" t="s">
        <v>199</v>
      </c>
      <c r="AC236" s="4" t="s">
        <v>44</v>
      </c>
      <c r="AD236" s="4" t="s">
        <v>44</v>
      </c>
      <c r="AE236" t="s">
        <v>205</v>
      </c>
    </row>
    <row r="237" spans="1:32" ht="15.95">
      <c r="A237" s="1" t="s">
        <v>196</v>
      </c>
      <c r="B237" t="s">
        <v>83</v>
      </c>
      <c r="C237" s="3">
        <v>4472222</v>
      </c>
      <c r="D237" s="3">
        <v>795499</v>
      </c>
      <c r="E237" s="3">
        <v>152555</v>
      </c>
      <c r="F237" s="3">
        <v>5449</v>
      </c>
      <c r="G237" s="3">
        <v>145494</v>
      </c>
      <c r="H237" s="3">
        <v>89503</v>
      </c>
      <c r="I237" s="3"/>
      <c r="J237" s="3"/>
      <c r="K237" s="3"/>
      <c r="L237" s="3"/>
      <c r="M237" s="17"/>
      <c r="N237" s="17"/>
      <c r="O237" s="3"/>
      <c r="P237" s="3"/>
      <c r="Q237" s="3"/>
      <c r="R237" t="s">
        <v>40</v>
      </c>
      <c r="S237" s="3">
        <v>6</v>
      </c>
      <c r="T237" s="3">
        <v>4</v>
      </c>
      <c r="U237">
        <v>76230</v>
      </c>
      <c r="V237">
        <v>6</v>
      </c>
      <c r="W237">
        <v>1600</v>
      </c>
      <c r="X237" t="s">
        <v>197</v>
      </c>
      <c r="Y237">
        <v>5400</v>
      </c>
      <c r="Z237" t="s">
        <v>198</v>
      </c>
      <c r="AA237" t="s">
        <v>192</v>
      </c>
      <c r="AB237" s="3" t="s">
        <v>199</v>
      </c>
      <c r="AC237" s="4" t="s">
        <v>44</v>
      </c>
      <c r="AD237" s="4" t="s">
        <v>44</v>
      </c>
      <c r="AE237" t="s">
        <v>205</v>
      </c>
    </row>
    <row r="238" spans="1:32" ht="15.95">
      <c r="A238" s="1" t="s">
        <v>196</v>
      </c>
      <c r="B238" t="s">
        <v>84</v>
      </c>
      <c r="C238" s="3">
        <v>3862382</v>
      </c>
      <c r="D238" s="3">
        <v>795499</v>
      </c>
      <c r="E238" s="3">
        <v>152555</v>
      </c>
      <c r="F238" s="3">
        <v>5449</v>
      </c>
      <c r="G238" s="3">
        <v>145494</v>
      </c>
      <c r="H238" s="3">
        <v>89503</v>
      </c>
      <c r="I238" s="3"/>
      <c r="J238" s="3"/>
      <c r="K238" s="3"/>
      <c r="L238" s="3"/>
      <c r="M238" s="17"/>
      <c r="N238" s="17"/>
      <c r="O238" s="3"/>
      <c r="P238" s="3"/>
      <c r="Q238" s="3"/>
      <c r="R238" t="s">
        <v>40</v>
      </c>
      <c r="S238" s="3">
        <v>6</v>
      </c>
      <c r="T238" s="3">
        <v>4</v>
      </c>
      <c r="U238">
        <v>76230</v>
      </c>
      <c r="V238">
        <v>6</v>
      </c>
      <c r="W238">
        <v>1600</v>
      </c>
      <c r="X238" t="s">
        <v>197</v>
      </c>
      <c r="Y238">
        <v>5400</v>
      </c>
      <c r="Z238" t="s">
        <v>198</v>
      </c>
      <c r="AA238" t="s">
        <v>192</v>
      </c>
      <c r="AB238" s="3" t="s">
        <v>199</v>
      </c>
      <c r="AC238" s="4" t="s">
        <v>44</v>
      </c>
      <c r="AD238" s="4" t="s">
        <v>44</v>
      </c>
      <c r="AE238" t="s">
        <v>205</v>
      </c>
    </row>
    <row r="239" spans="1:32" ht="15.95">
      <c r="A239" s="1" t="s">
        <v>196</v>
      </c>
      <c r="B239" s="43" t="s">
        <v>85</v>
      </c>
      <c r="C239" s="44">
        <v>4465315</v>
      </c>
      <c r="D239" s="44">
        <v>788522</v>
      </c>
      <c r="E239" s="44">
        <v>152364</v>
      </c>
      <c r="F239" s="44">
        <v>5489</v>
      </c>
      <c r="G239" s="44">
        <v>141482</v>
      </c>
      <c r="H239" s="3"/>
      <c r="I239" s="3"/>
      <c r="J239" s="3"/>
      <c r="K239" s="3"/>
      <c r="L239" s="3"/>
      <c r="M239" s="17"/>
      <c r="N239" s="17"/>
      <c r="O239" s="3"/>
      <c r="P239" s="3"/>
      <c r="Q239" s="3"/>
      <c r="R239" t="s">
        <v>40</v>
      </c>
      <c r="S239" s="3">
        <v>6</v>
      </c>
      <c r="T239" s="3">
        <v>4</v>
      </c>
      <c r="U239">
        <v>76230</v>
      </c>
      <c r="V239">
        <v>6</v>
      </c>
      <c r="W239">
        <v>1600</v>
      </c>
      <c r="X239" t="s">
        <v>197</v>
      </c>
      <c r="Y239">
        <v>5400</v>
      </c>
      <c r="Z239" t="s">
        <v>198</v>
      </c>
      <c r="AA239" t="s">
        <v>192</v>
      </c>
      <c r="AB239" s="3" t="s">
        <v>199</v>
      </c>
      <c r="AC239" s="4" t="s">
        <v>44</v>
      </c>
      <c r="AD239" s="4" t="s">
        <v>44</v>
      </c>
      <c r="AE239" t="s">
        <v>205</v>
      </c>
    </row>
    <row r="240" spans="1:32" ht="15.95">
      <c r="A240" s="1" t="s">
        <v>196</v>
      </c>
      <c r="B240" s="45" t="s">
        <v>86</v>
      </c>
      <c r="C240" s="46"/>
      <c r="D240" s="46"/>
      <c r="E240" s="46"/>
      <c r="F240" s="46"/>
      <c r="G240" s="46"/>
      <c r="H240" s="3"/>
      <c r="I240" s="3"/>
      <c r="J240" s="3"/>
      <c r="K240" s="3"/>
      <c r="L240" s="3"/>
      <c r="M240" s="17"/>
      <c r="N240" s="17"/>
      <c r="O240" s="3"/>
      <c r="P240" s="3"/>
      <c r="Q240" s="3"/>
      <c r="R240" t="s">
        <v>40</v>
      </c>
      <c r="S240" s="3">
        <v>6</v>
      </c>
      <c r="T240" s="3">
        <v>4</v>
      </c>
      <c r="U240">
        <v>76230</v>
      </c>
      <c r="V240">
        <v>6</v>
      </c>
      <c r="W240">
        <v>1600</v>
      </c>
      <c r="X240" t="s">
        <v>197</v>
      </c>
      <c r="Y240">
        <v>5400</v>
      </c>
      <c r="Z240" t="s">
        <v>198</v>
      </c>
      <c r="AA240" t="s">
        <v>192</v>
      </c>
      <c r="AB240" s="3" t="s">
        <v>199</v>
      </c>
      <c r="AC240" s="4" t="s">
        <v>44</v>
      </c>
      <c r="AD240" s="4" t="s">
        <v>44</v>
      </c>
      <c r="AE240" t="s">
        <v>205</v>
      </c>
    </row>
    <row r="241" spans="1:32" ht="15.95">
      <c r="A241" s="1" t="s">
        <v>196</v>
      </c>
      <c r="B241" t="s">
        <v>91</v>
      </c>
      <c r="C241" s="3">
        <v>931803</v>
      </c>
      <c r="D241" s="3">
        <v>1259675</v>
      </c>
      <c r="E241" s="3">
        <v>165243</v>
      </c>
      <c r="F241" s="3">
        <v>22680</v>
      </c>
      <c r="G241" s="3">
        <v>325455</v>
      </c>
      <c r="H241" s="3">
        <v>183702</v>
      </c>
      <c r="I241" s="3"/>
      <c r="J241" s="3"/>
      <c r="K241" s="3"/>
      <c r="L241" s="3"/>
      <c r="M241" s="17"/>
      <c r="N241" s="17"/>
      <c r="O241" s="3"/>
      <c r="P241" s="3"/>
      <c r="Q241" s="3"/>
      <c r="R241" t="s">
        <v>40</v>
      </c>
      <c r="S241" s="3">
        <v>6</v>
      </c>
      <c r="T241" s="3">
        <v>4</v>
      </c>
      <c r="U241">
        <v>76230</v>
      </c>
      <c r="V241">
        <v>6</v>
      </c>
      <c r="W241">
        <v>1600</v>
      </c>
      <c r="X241" t="s">
        <v>197</v>
      </c>
      <c r="Y241">
        <v>5400</v>
      </c>
      <c r="Z241" t="s">
        <v>198</v>
      </c>
      <c r="AA241" t="s">
        <v>192</v>
      </c>
      <c r="AB241" s="3" t="s">
        <v>199</v>
      </c>
      <c r="AC241" s="4" t="s">
        <v>44</v>
      </c>
      <c r="AD241" s="4" t="s">
        <v>44</v>
      </c>
      <c r="AE241" t="s">
        <v>205</v>
      </c>
    </row>
    <row r="242" spans="1:32">
      <c r="A242" s="1" t="s">
        <v>196</v>
      </c>
      <c r="B242" s="36" t="s">
        <v>97</v>
      </c>
      <c r="C242" s="3">
        <v>5934261</v>
      </c>
      <c r="D242" s="3">
        <v>746896</v>
      </c>
      <c r="E242" s="3">
        <v>150503</v>
      </c>
      <c r="F242" s="3">
        <v>8954</v>
      </c>
      <c r="G242" s="3">
        <v>133621</v>
      </c>
      <c r="H242" s="3">
        <v>45200</v>
      </c>
      <c r="I242" s="3"/>
      <c r="J242" s="3"/>
      <c r="K242" s="3"/>
      <c r="L242" s="3"/>
      <c r="M242" s="38">
        <v>457380</v>
      </c>
      <c r="N242" s="3">
        <v>4280000</v>
      </c>
      <c r="O242" s="3">
        <v>739501</v>
      </c>
      <c r="P242" s="3">
        <v>515864</v>
      </c>
      <c r="Q242" s="3">
        <v>223636</v>
      </c>
      <c r="R242" t="s">
        <v>40</v>
      </c>
      <c r="S242" s="3">
        <v>6</v>
      </c>
      <c r="T242" s="3">
        <v>4</v>
      </c>
      <c r="U242">
        <v>76230</v>
      </c>
      <c r="V242">
        <v>6</v>
      </c>
      <c r="W242">
        <v>1600</v>
      </c>
      <c r="X242" t="s">
        <v>197</v>
      </c>
      <c r="Y242">
        <v>5400</v>
      </c>
      <c r="Z242" t="s">
        <v>198</v>
      </c>
      <c r="AA242" t="s">
        <v>192</v>
      </c>
      <c r="AB242" s="3" t="s">
        <v>199</v>
      </c>
      <c r="AC242" s="4" t="s">
        <v>44</v>
      </c>
      <c r="AD242" s="4" t="s">
        <v>44</v>
      </c>
      <c r="AE242" t="s">
        <v>205</v>
      </c>
    </row>
    <row r="243" spans="1:32" ht="15.95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17"/>
      <c r="N243" s="17"/>
      <c r="O243" s="3"/>
      <c r="P243" s="3"/>
      <c r="Q243" s="3"/>
      <c r="R243" s="3"/>
      <c r="S243" s="3"/>
      <c r="T243" s="3"/>
      <c r="AB243" s="3"/>
      <c r="AC243" s="4"/>
      <c r="AD243" s="4"/>
    </row>
    <row r="244" spans="1:32" s="51" customFormat="1">
      <c r="A244" s="50" t="s">
        <v>206</v>
      </c>
      <c r="B244" s="50" t="s">
        <v>113</v>
      </c>
      <c r="C244" s="50"/>
      <c r="D244" s="54"/>
      <c r="E244" s="54">
        <v>77963</v>
      </c>
      <c r="F244" s="50">
        <v>3477</v>
      </c>
      <c r="G244" s="54">
        <v>119177</v>
      </c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</row>
    <row r="245" spans="1:32" s="8" customFormat="1">
      <c r="A245" s="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U245" s="7"/>
      <c r="V245" s="7"/>
      <c r="W245" s="7"/>
      <c r="X245" s="7"/>
      <c r="Y245" s="7"/>
      <c r="Z245" s="7"/>
      <c r="AB245" s="7"/>
      <c r="AC245" s="7"/>
      <c r="AD245" s="7"/>
    </row>
    <row r="248" spans="1:32">
      <c r="A248" s="1" t="s">
        <v>207</v>
      </c>
      <c r="B248" t="s">
        <v>39</v>
      </c>
      <c r="C248" s="3">
        <v>225245</v>
      </c>
      <c r="D248" s="3">
        <v>252192</v>
      </c>
      <c r="E248" s="3">
        <v>47308</v>
      </c>
      <c r="F248" s="3">
        <v>11827</v>
      </c>
      <c r="G248" s="3">
        <v>65785</v>
      </c>
      <c r="H248" s="3">
        <v>0</v>
      </c>
      <c r="I248" s="3"/>
      <c r="J248" s="3">
        <v>0</v>
      </c>
      <c r="K248" s="3"/>
      <c r="L248" s="3"/>
      <c r="M248" s="3">
        <v>2775</v>
      </c>
      <c r="N248" s="3"/>
      <c r="O248" s="3">
        <v>249694</v>
      </c>
      <c r="P248" s="3">
        <v>24969</v>
      </c>
      <c r="Q248" s="3">
        <v>279425</v>
      </c>
      <c r="R248" t="s">
        <v>40</v>
      </c>
      <c r="S248">
        <v>2</v>
      </c>
      <c r="T248">
        <v>4</v>
      </c>
      <c r="U248" s="3">
        <v>35000</v>
      </c>
      <c r="V248" s="3"/>
      <c r="W248" s="3">
        <v>0</v>
      </c>
      <c r="X248">
        <v>0</v>
      </c>
      <c r="Y248" s="3">
        <v>1800</v>
      </c>
      <c r="Z248" s="3" t="s">
        <v>115</v>
      </c>
      <c r="AA248" s="3" t="s">
        <v>208</v>
      </c>
      <c r="AB248" s="3" t="s">
        <v>117</v>
      </c>
      <c r="AC248" s="4" t="s">
        <v>44</v>
      </c>
      <c r="AD248" s="5" t="s">
        <v>55</v>
      </c>
      <c r="AE248" t="s">
        <v>209</v>
      </c>
      <c r="AF248" t="s">
        <v>210</v>
      </c>
    </row>
    <row r="249" spans="1:32">
      <c r="A249" s="1" t="s">
        <v>207</v>
      </c>
      <c r="B249" t="s">
        <v>120</v>
      </c>
      <c r="C249" s="3">
        <v>225425</v>
      </c>
      <c r="D249" s="3">
        <v>252192</v>
      </c>
      <c r="E249" s="3">
        <v>47308</v>
      </c>
      <c r="F249" s="3">
        <v>11827</v>
      </c>
      <c r="G249" s="3">
        <v>65785</v>
      </c>
      <c r="H249" s="3">
        <v>0</v>
      </c>
      <c r="I249" s="3"/>
      <c r="J249" s="3">
        <v>0</v>
      </c>
      <c r="K249" s="3"/>
      <c r="L249" s="3"/>
      <c r="M249" s="3">
        <v>2775</v>
      </c>
      <c r="N249" s="3"/>
      <c r="O249" s="3">
        <v>249694</v>
      </c>
      <c r="P249" s="3">
        <v>24969</v>
      </c>
      <c r="Q249" s="3">
        <v>279425</v>
      </c>
      <c r="R249" t="s">
        <v>40</v>
      </c>
      <c r="S249">
        <v>2</v>
      </c>
      <c r="T249">
        <v>4</v>
      </c>
      <c r="U249" s="3">
        <v>35000</v>
      </c>
      <c r="V249" s="3"/>
      <c r="W249" s="3">
        <v>0</v>
      </c>
      <c r="X249">
        <v>0</v>
      </c>
      <c r="Y249" s="3">
        <v>1800</v>
      </c>
      <c r="Z249" s="3" t="s">
        <v>115</v>
      </c>
      <c r="AA249" s="3" t="s">
        <v>208</v>
      </c>
      <c r="AB249" s="3" t="s">
        <v>117</v>
      </c>
      <c r="AC249" s="4" t="s">
        <v>44</v>
      </c>
      <c r="AD249" s="5" t="s">
        <v>55</v>
      </c>
      <c r="AE249" t="s">
        <v>209</v>
      </c>
      <c r="AF249" t="s">
        <v>210</v>
      </c>
    </row>
    <row r="250" spans="1:32">
      <c r="A250" s="1" t="s">
        <v>207</v>
      </c>
      <c r="B250" s="13" t="s">
        <v>62</v>
      </c>
      <c r="C250" s="12">
        <v>210616</v>
      </c>
      <c r="D250" s="12">
        <v>207116</v>
      </c>
      <c r="E250" s="12">
        <v>43487</v>
      </c>
      <c r="F250" s="12">
        <v>10872</v>
      </c>
      <c r="G250" s="12">
        <v>36009</v>
      </c>
      <c r="H250" s="12">
        <v>0</v>
      </c>
      <c r="I250" s="12"/>
      <c r="J250" s="12">
        <v>0</v>
      </c>
      <c r="K250" s="12"/>
      <c r="L250" s="12"/>
      <c r="M250" s="12">
        <v>2775</v>
      </c>
      <c r="N250" s="12"/>
      <c r="O250" s="12">
        <v>205065</v>
      </c>
      <c r="P250" s="12">
        <v>20506</v>
      </c>
      <c r="Q250" s="12">
        <v>231894</v>
      </c>
      <c r="R250" s="12" t="s">
        <v>40</v>
      </c>
      <c r="S250">
        <v>2</v>
      </c>
      <c r="T250">
        <v>4</v>
      </c>
      <c r="U250" s="3">
        <v>35000</v>
      </c>
      <c r="V250" s="3"/>
      <c r="W250" s="3">
        <v>0</v>
      </c>
      <c r="X250">
        <v>0</v>
      </c>
      <c r="Y250" s="3">
        <v>1800</v>
      </c>
      <c r="Z250" s="3" t="s">
        <v>115</v>
      </c>
      <c r="AA250" s="3" t="s">
        <v>208</v>
      </c>
      <c r="AB250" s="3" t="s">
        <v>117</v>
      </c>
      <c r="AC250" s="4" t="s">
        <v>44</v>
      </c>
      <c r="AD250" s="5" t="s">
        <v>55</v>
      </c>
      <c r="AE250" t="s">
        <v>209</v>
      </c>
      <c r="AF250" t="s">
        <v>210</v>
      </c>
    </row>
    <row r="251" spans="1:32">
      <c r="A251" s="1" t="s">
        <v>207</v>
      </c>
      <c r="B251" s="13" t="s">
        <v>63</v>
      </c>
      <c r="C251" s="12">
        <v>219618</v>
      </c>
      <c r="D251" s="12">
        <v>216208</v>
      </c>
      <c r="E251" s="12">
        <v>43487</v>
      </c>
      <c r="F251" s="12">
        <v>10872</v>
      </c>
      <c r="G251" s="12">
        <v>45011</v>
      </c>
      <c r="H251" s="12">
        <v>0</v>
      </c>
      <c r="I251" s="12"/>
      <c r="J251" s="12">
        <v>0</v>
      </c>
      <c r="K251" s="12"/>
      <c r="L251" s="12"/>
      <c r="M251" s="12">
        <v>2775</v>
      </c>
      <c r="N251" s="12"/>
      <c r="O251" s="12">
        <v>214067</v>
      </c>
      <c r="P251" s="12">
        <v>21406</v>
      </c>
      <c r="Q251" s="12">
        <v>241482</v>
      </c>
      <c r="R251" s="12" t="s">
        <v>40</v>
      </c>
      <c r="S251">
        <v>2</v>
      </c>
      <c r="T251">
        <v>4</v>
      </c>
      <c r="U251" s="3">
        <v>35000</v>
      </c>
      <c r="V251" s="3"/>
      <c r="W251" s="3">
        <v>0</v>
      </c>
      <c r="X251">
        <v>0</v>
      </c>
      <c r="Y251" s="3">
        <v>1800</v>
      </c>
      <c r="Z251" s="3" t="s">
        <v>115</v>
      </c>
      <c r="AA251" s="3" t="s">
        <v>208</v>
      </c>
      <c r="AB251" s="3" t="s">
        <v>117</v>
      </c>
      <c r="AC251" s="4" t="s">
        <v>44</v>
      </c>
      <c r="AD251" s="5" t="s">
        <v>55</v>
      </c>
      <c r="AE251" t="s">
        <v>209</v>
      </c>
      <c r="AF251" t="s">
        <v>210</v>
      </c>
    </row>
    <row r="252" spans="1:32">
      <c r="A252" s="1" t="s">
        <v>207</v>
      </c>
      <c r="B252" s="13" t="s">
        <v>121</v>
      </c>
      <c r="C252" s="12">
        <v>249591</v>
      </c>
      <c r="D252" s="12">
        <v>223734</v>
      </c>
      <c r="E252" s="12">
        <v>47312</v>
      </c>
      <c r="F252" s="12">
        <v>11828</v>
      </c>
      <c r="G252" s="12">
        <v>37593</v>
      </c>
      <c r="H252" s="12">
        <v>0</v>
      </c>
      <c r="I252" s="12"/>
      <c r="J252" s="12">
        <v>0</v>
      </c>
      <c r="K252" s="12"/>
      <c r="L252" s="12"/>
      <c r="M252" s="12">
        <v>0</v>
      </c>
      <c r="N252" s="12"/>
      <c r="O252" s="12">
        <v>221519</v>
      </c>
      <c r="P252" s="12">
        <v>22152</v>
      </c>
      <c r="Q252" s="12">
        <v>248310</v>
      </c>
      <c r="R252" s="12" t="s">
        <v>40</v>
      </c>
      <c r="S252" s="12">
        <v>2</v>
      </c>
      <c r="T252" s="12">
        <v>4</v>
      </c>
      <c r="U252" s="3">
        <v>35000</v>
      </c>
      <c r="V252" s="3"/>
      <c r="W252" s="3">
        <v>0</v>
      </c>
      <c r="X252">
        <v>0</v>
      </c>
      <c r="Y252" s="3">
        <v>1800</v>
      </c>
      <c r="Z252" s="3" t="s">
        <v>115</v>
      </c>
      <c r="AA252" s="3" t="s">
        <v>208</v>
      </c>
      <c r="AB252" s="3" t="s">
        <v>117</v>
      </c>
      <c r="AC252" s="4" t="s">
        <v>44</v>
      </c>
      <c r="AD252" s="5" t="s">
        <v>55</v>
      </c>
      <c r="AE252" t="s">
        <v>209</v>
      </c>
      <c r="AF252" t="s">
        <v>210</v>
      </c>
    </row>
    <row r="253" spans="1:32" ht="15.95">
      <c r="A253" s="1" t="s">
        <v>207</v>
      </c>
      <c r="B253" s="18" t="s">
        <v>70</v>
      </c>
      <c r="C253" s="21">
        <v>516852</v>
      </c>
      <c r="D253" s="21">
        <v>309920</v>
      </c>
      <c r="E253" s="21">
        <v>77422</v>
      </c>
      <c r="F253" s="21">
        <v>7030</v>
      </c>
      <c r="G253" s="22">
        <v>55052</v>
      </c>
      <c r="H253" s="22">
        <v>0</v>
      </c>
      <c r="I253" s="22"/>
      <c r="J253" s="22">
        <v>0</v>
      </c>
      <c r="K253" s="22"/>
      <c r="L253" s="22"/>
      <c r="M253" s="22">
        <v>105000</v>
      </c>
      <c r="N253" s="22"/>
      <c r="O253" s="22">
        <v>306851.58</v>
      </c>
      <c r="P253" s="22">
        <v>30685.128000000001</v>
      </c>
      <c r="Q253" s="19">
        <v>391831.2206</v>
      </c>
      <c r="R253" s="22" t="s">
        <v>40</v>
      </c>
      <c r="S253" s="1"/>
      <c r="T253" s="1"/>
      <c r="U253" s="3"/>
      <c r="V253" s="3"/>
      <c r="W253" s="3"/>
      <c r="Y253" s="3"/>
      <c r="Z253" s="3"/>
      <c r="AA253" s="3"/>
      <c r="AB253" s="3"/>
      <c r="AC253" s="4"/>
      <c r="AD253" s="5"/>
    </row>
    <row r="254" spans="1:32">
      <c r="A254" s="1" t="s">
        <v>207</v>
      </c>
      <c r="B254" s="18" t="s">
        <v>70</v>
      </c>
      <c r="C254" s="21">
        <v>376852</v>
      </c>
      <c r="D254" s="21">
        <v>309920</v>
      </c>
      <c r="E254" s="21">
        <v>77422</v>
      </c>
      <c r="F254" s="21">
        <v>7030</v>
      </c>
      <c r="G254" s="22">
        <v>55052</v>
      </c>
      <c r="H254" s="22">
        <v>0</v>
      </c>
      <c r="I254" s="22"/>
      <c r="J254" s="22">
        <v>0</v>
      </c>
      <c r="K254" s="22"/>
      <c r="L254" s="22"/>
      <c r="M254" s="22">
        <v>35000</v>
      </c>
      <c r="N254" s="22"/>
      <c r="O254" s="22">
        <v>306851.58</v>
      </c>
      <c r="P254" s="22">
        <v>30685.128000000001</v>
      </c>
      <c r="Q254" s="22">
        <v>391831.2206</v>
      </c>
      <c r="R254" s="22" t="s">
        <v>40</v>
      </c>
      <c r="S254" s="1"/>
      <c r="T254" s="1"/>
      <c r="U254" s="3"/>
      <c r="V254" s="3"/>
      <c r="W254" s="3"/>
      <c r="Y254" s="3"/>
      <c r="Z254" s="3"/>
      <c r="AA254" s="3"/>
      <c r="AB254" s="3"/>
      <c r="AC254" s="4"/>
      <c r="AD254" s="5"/>
    </row>
    <row r="255" spans="1:32">
      <c r="A255" s="1" t="s">
        <v>207</v>
      </c>
      <c r="B255" s="18" t="s">
        <v>71</v>
      </c>
      <c r="C255" s="21">
        <v>356470</v>
      </c>
      <c r="D255" s="21">
        <v>289334</v>
      </c>
      <c r="E255" s="21">
        <v>66766</v>
      </c>
      <c r="F255" s="21">
        <v>9640</v>
      </c>
      <c r="G255" s="22">
        <v>55052</v>
      </c>
      <c r="H255" s="22">
        <v>0</v>
      </c>
      <c r="I255" s="22"/>
      <c r="J255" s="22">
        <v>0</v>
      </c>
      <c r="K255" s="22"/>
      <c r="L255" s="22"/>
      <c r="M255" s="22">
        <v>35000</v>
      </c>
      <c r="N255" s="22"/>
      <c r="O255" s="22">
        <v>286469</v>
      </c>
      <c r="P255" s="22">
        <v>28646</v>
      </c>
      <c r="Q255" s="22">
        <v>370021</v>
      </c>
      <c r="R255" s="22" t="s">
        <v>40</v>
      </c>
      <c r="S255" s="1"/>
      <c r="T255" s="1"/>
      <c r="U255" s="3"/>
      <c r="V255" s="3"/>
      <c r="W255" s="3"/>
      <c r="Y255" s="3"/>
      <c r="Z255" s="3"/>
      <c r="AA255" s="3"/>
      <c r="AB255" s="3"/>
      <c r="AC255" s="4"/>
      <c r="AD255" s="5"/>
    </row>
    <row r="256" spans="1:32">
      <c r="A256" s="1" t="s">
        <v>207</v>
      </c>
      <c r="B256" s="3" t="s">
        <v>73</v>
      </c>
      <c r="C256" s="21">
        <v>160229</v>
      </c>
      <c r="D256" s="21">
        <v>91131</v>
      </c>
      <c r="E256" s="21">
        <v>68839</v>
      </c>
      <c r="F256" s="21">
        <v>7840</v>
      </c>
      <c r="G256" s="22">
        <v>21161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 t="s">
        <v>40</v>
      </c>
      <c r="S256" s="1"/>
      <c r="T256" s="1"/>
      <c r="U256" s="3"/>
      <c r="V256" s="3"/>
      <c r="W256" s="3"/>
      <c r="Y256" s="3"/>
      <c r="Z256" s="3"/>
      <c r="AA256" s="3"/>
      <c r="AB256" s="3"/>
      <c r="AC256" s="4"/>
      <c r="AD256" s="5"/>
    </row>
    <row r="257" spans="1:32">
      <c r="A257" s="1" t="s">
        <v>207</v>
      </c>
      <c r="B257" s="3" t="s">
        <v>74</v>
      </c>
      <c r="C257" s="21">
        <v>280535</v>
      </c>
      <c r="D257" s="21">
        <v>212640</v>
      </c>
      <c r="E257" s="21">
        <v>68839</v>
      </c>
      <c r="F257" s="21">
        <v>7840</v>
      </c>
      <c r="G257" s="22">
        <v>49376</v>
      </c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 t="s">
        <v>40</v>
      </c>
      <c r="S257" s="1"/>
      <c r="T257" s="1"/>
      <c r="U257" s="3"/>
      <c r="V257" s="3"/>
      <c r="W257" s="3"/>
      <c r="Y257" s="3"/>
      <c r="Z257" s="3"/>
      <c r="AA257" s="3"/>
      <c r="AB257" s="3"/>
      <c r="AC257" s="4"/>
      <c r="AD257" s="5"/>
    </row>
    <row r="258" spans="1:32">
      <c r="A258" s="1" t="s">
        <v>207</v>
      </c>
      <c r="B258" s="34" t="s">
        <v>75</v>
      </c>
      <c r="C258" s="34">
        <v>298946</v>
      </c>
      <c r="D258" s="34">
        <v>231236</v>
      </c>
      <c r="E258" s="34">
        <v>77374</v>
      </c>
      <c r="F258" s="34">
        <v>8250</v>
      </c>
      <c r="G258" s="34">
        <v>49376</v>
      </c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 t="s">
        <v>40</v>
      </c>
      <c r="S258" s="14">
        <v>2</v>
      </c>
      <c r="T258" s="14">
        <v>4</v>
      </c>
      <c r="U258" s="4">
        <v>35000</v>
      </c>
      <c r="V258" s="4"/>
      <c r="W258" s="14">
        <v>0</v>
      </c>
      <c r="X258" s="14">
        <v>0</v>
      </c>
      <c r="Y258" s="14">
        <v>1800</v>
      </c>
      <c r="Z258" s="4" t="s">
        <v>115</v>
      </c>
      <c r="AA258" s="14" t="s">
        <v>208</v>
      </c>
      <c r="AB258" s="14" t="s">
        <v>117</v>
      </c>
      <c r="AC258" s="4" t="s">
        <v>44</v>
      </c>
      <c r="AD258" s="4" t="s">
        <v>55</v>
      </c>
      <c r="AE258" s="14" t="s">
        <v>209</v>
      </c>
      <c r="AF258" t="s">
        <v>210</v>
      </c>
    </row>
    <row r="259" spans="1:32">
      <c r="A259" s="1" t="s">
        <v>207</v>
      </c>
      <c r="B259" s="38" t="s">
        <v>78</v>
      </c>
      <c r="C259" s="38">
        <v>1362221</v>
      </c>
      <c r="D259" s="38">
        <v>224443</v>
      </c>
      <c r="E259" s="38">
        <v>74919</v>
      </c>
      <c r="F259" s="38">
        <v>8046</v>
      </c>
      <c r="G259" s="38">
        <v>48187</v>
      </c>
      <c r="H259" s="38">
        <v>0</v>
      </c>
      <c r="I259" s="38"/>
      <c r="J259" s="38">
        <v>0</v>
      </c>
      <c r="K259" s="38"/>
      <c r="L259" s="38"/>
      <c r="M259" s="38">
        <v>210000</v>
      </c>
      <c r="N259" s="38"/>
      <c r="O259" s="38">
        <v>222221</v>
      </c>
      <c r="P259" s="38">
        <v>22222</v>
      </c>
      <c r="Q259" s="38">
        <v>250165</v>
      </c>
      <c r="R259" s="38" t="s">
        <v>40</v>
      </c>
      <c r="S259" s="14">
        <v>2</v>
      </c>
      <c r="T259" s="14">
        <v>4</v>
      </c>
      <c r="U259" s="4">
        <v>35000</v>
      </c>
      <c r="V259" s="4">
        <v>6</v>
      </c>
      <c r="W259" s="14">
        <v>0</v>
      </c>
      <c r="X259" s="14">
        <v>0</v>
      </c>
      <c r="Y259" s="14">
        <v>1800</v>
      </c>
      <c r="Z259" s="4" t="s">
        <v>115</v>
      </c>
      <c r="AA259" s="14" t="s">
        <v>208</v>
      </c>
      <c r="AB259" s="14" t="s">
        <v>117</v>
      </c>
      <c r="AC259" s="4" t="s">
        <v>44</v>
      </c>
      <c r="AD259" s="4" t="s">
        <v>55</v>
      </c>
      <c r="AE259" s="14" t="s">
        <v>209</v>
      </c>
      <c r="AF259" t="s">
        <v>210</v>
      </c>
    </row>
    <row r="260" spans="1:32">
      <c r="A260" s="1" t="s">
        <v>207</v>
      </c>
      <c r="B260" t="s">
        <v>82</v>
      </c>
      <c r="C260" s="3">
        <v>1441583</v>
      </c>
      <c r="D260" s="3">
        <v>304599</v>
      </c>
      <c r="E260" s="3">
        <v>71173</v>
      </c>
      <c r="F260" s="3">
        <v>7643</v>
      </c>
      <c r="G260" s="3">
        <v>65397</v>
      </c>
      <c r="H260" s="38">
        <v>0</v>
      </c>
      <c r="I260" s="38"/>
      <c r="J260" s="38">
        <v>0</v>
      </c>
      <c r="K260" s="38"/>
      <c r="L260" s="38"/>
      <c r="M260" s="38">
        <v>210000</v>
      </c>
      <c r="N260" s="38"/>
      <c r="O260" s="3">
        <v>310583</v>
      </c>
      <c r="P260" s="3">
        <v>30158</v>
      </c>
      <c r="Q260" s="3">
        <v>395002</v>
      </c>
      <c r="R260" s="3" t="s">
        <v>40</v>
      </c>
      <c r="S260" s="14">
        <v>2</v>
      </c>
      <c r="T260" s="14">
        <v>4</v>
      </c>
      <c r="U260" s="4">
        <v>35000</v>
      </c>
      <c r="V260" s="4">
        <v>6</v>
      </c>
      <c r="W260" s="14">
        <v>0</v>
      </c>
      <c r="X260" s="14">
        <v>0</v>
      </c>
      <c r="Y260" s="14">
        <v>1800</v>
      </c>
      <c r="Z260" s="4" t="s">
        <v>115</v>
      </c>
      <c r="AA260" s="14" t="s">
        <v>208</v>
      </c>
      <c r="AB260" s="14" t="s">
        <v>117</v>
      </c>
      <c r="AC260" s="4" t="s">
        <v>44</v>
      </c>
      <c r="AD260" s="4" t="s">
        <v>55</v>
      </c>
      <c r="AE260" s="14" t="s">
        <v>209</v>
      </c>
      <c r="AF260" t="s">
        <v>210</v>
      </c>
    </row>
    <row r="261" spans="1:32">
      <c r="A261" s="1" t="s">
        <v>207</v>
      </c>
      <c r="B261" t="s">
        <v>83</v>
      </c>
      <c r="C261" s="3">
        <v>1077769</v>
      </c>
      <c r="D261" s="3">
        <v>290647</v>
      </c>
      <c r="E261" s="3">
        <v>711737643</v>
      </c>
      <c r="F261" s="3">
        <v>763</v>
      </c>
      <c r="G261" s="3">
        <v>51583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3" t="s">
        <v>40</v>
      </c>
      <c r="S261" s="14">
        <v>2</v>
      </c>
      <c r="T261" s="14">
        <v>4</v>
      </c>
      <c r="U261" s="4">
        <v>35000</v>
      </c>
      <c r="V261" s="4">
        <v>6</v>
      </c>
      <c r="W261" s="14">
        <v>0</v>
      </c>
      <c r="X261" s="14">
        <v>0</v>
      </c>
      <c r="Y261" s="14">
        <v>1800</v>
      </c>
      <c r="Z261" s="4" t="s">
        <v>115</v>
      </c>
      <c r="AA261" s="14" t="s">
        <v>208</v>
      </c>
      <c r="AB261" s="14" t="s">
        <v>117</v>
      </c>
      <c r="AC261" s="4" t="s">
        <v>44</v>
      </c>
      <c r="AD261" s="4" t="s">
        <v>55</v>
      </c>
      <c r="AE261" s="14" t="s">
        <v>209</v>
      </c>
      <c r="AF261" t="s">
        <v>210</v>
      </c>
    </row>
    <row r="262" spans="1:32">
      <c r="A262" s="1" t="s">
        <v>207</v>
      </c>
      <c r="B262" t="s">
        <v>84</v>
      </c>
      <c r="C262" s="3"/>
      <c r="D262" s="3"/>
      <c r="E262" s="3"/>
      <c r="F262" s="3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3" t="s">
        <v>40</v>
      </c>
      <c r="S262" s="14">
        <v>2</v>
      </c>
      <c r="T262" s="14">
        <v>4</v>
      </c>
      <c r="U262" s="4">
        <v>35000</v>
      </c>
      <c r="V262" s="4">
        <v>6</v>
      </c>
      <c r="W262" s="14">
        <v>0</v>
      </c>
      <c r="X262" s="14">
        <v>0</v>
      </c>
      <c r="Y262" s="14">
        <v>1800</v>
      </c>
      <c r="Z262" s="4" t="s">
        <v>115</v>
      </c>
      <c r="AA262" s="14" t="s">
        <v>208</v>
      </c>
      <c r="AB262" s="14" t="s">
        <v>117</v>
      </c>
      <c r="AC262" s="4" t="s">
        <v>44</v>
      </c>
      <c r="AD262" s="4" t="s">
        <v>55</v>
      </c>
      <c r="AE262" s="14" t="s">
        <v>209</v>
      </c>
      <c r="AF262" t="s">
        <v>210</v>
      </c>
    </row>
    <row r="263" spans="1:32">
      <c r="A263" s="1" t="s">
        <v>207</v>
      </c>
      <c r="B263" s="43" t="s">
        <v>85</v>
      </c>
      <c r="C263" s="44">
        <v>1062624</v>
      </c>
      <c r="D263" s="44">
        <v>275350</v>
      </c>
      <c r="E263" s="44">
        <v>67427</v>
      </c>
      <c r="F263" s="44">
        <v>7241</v>
      </c>
      <c r="G263" s="44">
        <v>48868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3" t="s">
        <v>40</v>
      </c>
      <c r="S263" s="14">
        <v>2</v>
      </c>
      <c r="T263" s="14">
        <v>4</v>
      </c>
      <c r="U263" s="4">
        <v>35000</v>
      </c>
      <c r="V263" s="4">
        <v>6</v>
      </c>
      <c r="W263" s="14">
        <v>0</v>
      </c>
      <c r="X263" s="14">
        <v>0</v>
      </c>
      <c r="Y263" s="14">
        <v>1800</v>
      </c>
      <c r="Z263" s="4" t="s">
        <v>115</v>
      </c>
      <c r="AA263" s="14" t="s">
        <v>208</v>
      </c>
      <c r="AB263" s="14" t="s">
        <v>117</v>
      </c>
      <c r="AC263" s="4" t="s">
        <v>44</v>
      </c>
      <c r="AD263" s="4" t="s">
        <v>55</v>
      </c>
      <c r="AE263" s="14" t="s">
        <v>209</v>
      </c>
      <c r="AF263" t="s">
        <v>210</v>
      </c>
    </row>
    <row r="264" spans="1:32">
      <c r="A264" s="1" t="s">
        <v>207</v>
      </c>
      <c r="B264" s="45" t="s">
        <v>86</v>
      </c>
      <c r="C264" s="46"/>
      <c r="D264" s="46"/>
      <c r="E264" s="46"/>
      <c r="F264" s="46"/>
      <c r="G264" s="4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3" t="s">
        <v>40</v>
      </c>
      <c r="S264" s="14">
        <v>2</v>
      </c>
      <c r="T264" s="14">
        <v>4</v>
      </c>
      <c r="U264" s="4">
        <v>35000</v>
      </c>
      <c r="V264" s="4">
        <v>6</v>
      </c>
      <c r="W264" s="14">
        <v>0</v>
      </c>
      <c r="X264" s="14">
        <v>0</v>
      </c>
      <c r="Y264" s="14">
        <v>1800</v>
      </c>
      <c r="Z264" s="4" t="s">
        <v>115</v>
      </c>
      <c r="AA264" s="14" t="s">
        <v>208</v>
      </c>
      <c r="AB264" s="14" t="s">
        <v>117</v>
      </c>
      <c r="AC264" s="4" t="s">
        <v>44</v>
      </c>
      <c r="AD264" s="4" t="s">
        <v>55</v>
      </c>
      <c r="AE264" s="14" t="s">
        <v>209</v>
      </c>
      <c r="AF264" t="s">
        <v>210</v>
      </c>
    </row>
    <row r="265" spans="1:32">
      <c r="A265" s="1" t="s">
        <v>207</v>
      </c>
      <c r="B265" t="s">
        <v>91</v>
      </c>
      <c r="C265" s="3">
        <v>1182282</v>
      </c>
      <c r="D265" s="3">
        <v>396205</v>
      </c>
      <c r="E265" s="3">
        <v>70522</v>
      </c>
      <c r="F265" s="3">
        <v>10661</v>
      </c>
      <c r="G265" s="3">
        <v>108936</v>
      </c>
      <c r="H265" s="3">
        <v>18500</v>
      </c>
      <c r="I265" s="3"/>
      <c r="J265" s="3"/>
      <c r="K265" s="3"/>
      <c r="L265" s="3"/>
      <c r="M265" s="3"/>
      <c r="N265" s="3"/>
      <c r="O265" s="3"/>
      <c r="P265" s="3"/>
      <c r="Q265" s="3"/>
      <c r="R265" s="3" t="s">
        <v>40</v>
      </c>
      <c r="S265" s="14">
        <v>2</v>
      </c>
      <c r="T265" s="14">
        <v>4</v>
      </c>
      <c r="U265" s="4">
        <v>35000</v>
      </c>
      <c r="V265" s="4">
        <v>6</v>
      </c>
      <c r="W265" s="14">
        <v>0</v>
      </c>
      <c r="X265" s="14">
        <v>0</v>
      </c>
      <c r="Y265" s="14">
        <v>1800</v>
      </c>
      <c r="Z265" s="4" t="s">
        <v>115</v>
      </c>
      <c r="AA265" s="14" t="s">
        <v>208</v>
      </c>
      <c r="AB265" s="14" t="s">
        <v>117</v>
      </c>
      <c r="AC265" s="4" t="s">
        <v>44</v>
      </c>
      <c r="AD265" s="4" t="s">
        <v>55</v>
      </c>
      <c r="AE265" s="14" t="s">
        <v>209</v>
      </c>
      <c r="AF265" t="s">
        <v>210</v>
      </c>
    </row>
    <row r="266" spans="1:32">
      <c r="A266" s="1" t="s">
        <v>207</v>
      </c>
      <c r="B266" s="36" t="s">
        <v>97</v>
      </c>
      <c r="C266" s="3">
        <v>2852039</v>
      </c>
      <c r="D266" s="3">
        <v>355560</v>
      </c>
      <c r="E266" s="3">
        <v>64572</v>
      </c>
      <c r="F266" s="3">
        <v>7688</v>
      </c>
      <c r="G266" s="3">
        <v>44751</v>
      </c>
      <c r="H266" s="3">
        <v>0</v>
      </c>
      <c r="I266" s="3"/>
      <c r="J266" s="3">
        <v>0</v>
      </c>
      <c r="K266" s="3"/>
      <c r="L266" s="3"/>
      <c r="M266" s="3">
        <v>210000</v>
      </c>
      <c r="N266" s="3">
        <v>2080000</v>
      </c>
      <c r="O266" s="3">
        <v>352039</v>
      </c>
      <c r="P266" s="3">
        <v>222252</v>
      </c>
      <c r="Q266" s="3">
        <v>129786</v>
      </c>
      <c r="R266" s="3" t="s">
        <v>40</v>
      </c>
      <c r="S266" s="14">
        <v>2</v>
      </c>
      <c r="T266" s="14">
        <v>4</v>
      </c>
      <c r="U266" s="4">
        <v>35000</v>
      </c>
      <c r="V266" s="4">
        <v>6</v>
      </c>
      <c r="W266" s="14">
        <v>0</v>
      </c>
      <c r="X266" s="14">
        <v>0</v>
      </c>
      <c r="Y266" s="14">
        <v>1800</v>
      </c>
      <c r="Z266" s="4" t="s">
        <v>115</v>
      </c>
      <c r="AA266" s="14" t="s">
        <v>208</v>
      </c>
      <c r="AB266" s="14" t="s">
        <v>117</v>
      </c>
      <c r="AC266" s="4" t="s">
        <v>44</v>
      </c>
      <c r="AD266" s="4" t="s">
        <v>55</v>
      </c>
      <c r="AE266" s="14" t="s">
        <v>209</v>
      </c>
      <c r="AF266" t="s">
        <v>210</v>
      </c>
    </row>
    <row r="267" spans="1:32">
      <c r="A267" s="1"/>
      <c r="B267" s="1"/>
      <c r="C267" s="1"/>
      <c r="D267" s="1"/>
      <c r="E267" s="1"/>
      <c r="F267" s="1"/>
      <c r="G267" s="1" t="s">
        <v>211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3"/>
      <c r="Y267" s="3"/>
      <c r="Z267" s="3"/>
      <c r="AA267" s="3"/>
      <c r="AB267" s="3"/>
      <c r="AC267" s="4"/>
      <c r="AD267" s="5"/>
    </row>
    <row r="268" spans="1:32" s="51" customFormat="1">
      <c r="A268" s="50" t="s">
        <v>212</v>
      </c>
      <c r="B268" s="50" t="s">
        <v>113</v>
      </c>
      <c r="E268" s="51">
        <v>15000</v>
      </c>
      <c r="F268" s="51">
        <v>5000</v>
      </c>
      <c r="G268" s="34">
        <v>50000</v>
      </c>
      <c r="H268" s="51">
        <v>0</v>
      </c>
      <c r="J268" s="51">
        <v>0</v>
      </c>
      <c r="S268" s="51">
        <v>2</v>
      </c>
      <c r="T268" s="51">
        <v>4</v>
      </c>
      <c r="U268" s="34">
        <v>35000</v>
      </c>
      <c r="V268" s="34"/>
      <c r="W268" s="51">
        <v>0</v>
      </c>
      <c r="X268" s="51">
        <v>0</v>
      </c>
      <c r="Y268" s="51">
        <v>1800</v>
      </c>
      <c r="Z268" s="34" t="s">
        <v>115</v>
      </c>
      <c r="AA268" s="51" t="s">
        <v>208</v>
      </c>
      <c r="AB268" s="51" t="s">
        <v>117</v>
      </c>
      <c r="AC268" s="34" t="s">
        <v>44</v>
      </c>
      <c r="AD268" s="34" t="s">
        <v>55</v>
      </c>
      <c r="AE268" s="51" t="s">
        <v>209</v>
      </c>
      <c r="AF268" s="51" t="s">
        <v>210</v>
      </c>
    </row>
    <row r="269" spans="1:32" s="8" customFormat="1">
      <c r="A269" s="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2">
      <c r="A270" s="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U270" s="3"/>
      <c r="V270" s="3"/>
      <c r="W270" s="3"/>
      <c r="X270" s="3"/>
      <c r="Y270" s="3"/>
      <c r="Z270" s="3"/>
      <c r="AB270" s="3"/>
      <c r="AC270" s="3"/>
      <c r="AD270" s="3"/>
    </row>
    <row r="271" spans="1:32" s="11" customFormat="1">
      <c r="A271" s="9" t="s">
        <v>213</v>
      </c>
      <c r="B271" s="11" t="s">
        <v>39</v>
      </c>
      <c r="C271" s="10">
        <v>431149</v>
      </c>
      <c r="D271" s="10">
        <v>1451533</v>
      </c>
      <c r="E271" s="10">
        <v>127819</v>
      </c>
      <c r="F271" s="10">
        <v>30922</v>
      </c>
      <c r="G271" s="10">
        <v>166190</v>
      </c>
      <c r="H271" s="10"/>
      <c r="I271" s="10"/>
      <c r="J271" s="10"/>
      <c r="K271" s="10"/>
      <c r="L271" s="10"/>
      <c r="M271" s="10">
        <v>0</v>
      </c>
      <c r="N271" s="10"/>
      <c r="O271" s="10"/>
      <c r="P271" s="10"/>
      <c r="Q271" s="10"/>
      <c r="R271" s="10" t="s">
        <v>40</v>
      </c>
      <c r="S271" s="11">
        <v>6</v>
      </c>
      <c r="T271" s="11">
        <v>12</v>
      </c>
      <c r="U271" s="10">
        <v>65340</v>
      </c>
      <c r="V271" s="10"/>
      <c r="W271" s="10">
        <v>500</v>
      </c>
      <c r="X271" s="10">
        <v>30000</v>
      </c>
      <c r="Y271" s="10">
        <v>5000</v>
      </c>
      <c r="Z271" s="10" t="s">
        <v>214</v>
      </c>
      <c r="AA271" s="11" t="s">
        <v>192</v>
      </c>
      <c r="AB271" s="10" t="s">
        <v>117</v>
      </c>
      <c r="AC271" s="10" t="s">
        <v>55</v>
      </c>
      <c r="AD271" s="10" t="s">
        <v>44</v>
      </c>
      <c r="AE271" s="11" t="s">
        <v>215</v>
      </c>
      <c r="AF271" s="11" t="s">
        <v>216</v>
      </c>
    </row>
    <row r="272" spans="1:32" s="11" customFormat="1">
      <c r="A272" s="9" t="s">
        <v>213</v>
      </c>
      <c r="B272" s="11" t="s">
        <v>47</v>
      </c>
      <c r="C272" s="10">
        <v>852628</v>
      </c>
      <c r="D272" s="10">
        <v>2694258</v>
      </c>
      <c r="E272" s="10">
        <v>217834</v>
      </c>
      <c r="F272" s="10">
        <v>90209</v>
      </c>
      <c r="G272" s="10">
        <v>268373</v>
      </c>
      <c r="H272" s="10"/>
      <c r="I272" s="10"/>
      <c r="J272" s="10"/>
      <c r="K272" s="10"/>
      <c r="L272" s="10"/>
      <c r="M272" s="10">
        <v>0</v>
      </c>
      <c r="N272" s="10"/>
      <c r="O272" s="10"/>
      <c r="P272" s="10"/>
      <c r="Q272" s="10"/>
      <c r="R272" s="10" t="s">
        <v>40</v>
      </c>
      <c r="S272" s="11">
        <v>6</v>
      </c>
      <c r="T272" s="11">
        <v>12</v>
      </c>
      <c r="U272" s="10">
        <v>65340</v>
      </c>
      <c r="V272" s="10"/>
      <c r="W272" s="10">
        <v>500</v>
      </c>
      <c r="X272" s="10">
        <v>30000</v>
      </c>
      <c r="Y272" s="10">
        <v>5000</v>
      </c>
      <c r="Z272" s="10" t="s">
        <v>214</v>
      </c>
      <c r="AA272" s="11" t="s">
        <v>192</v>
      </c>
      <c r="AB272" s="10" t="s">
        <v>117</v>
      </c>
      <c r="AC272" s="10" t="s">
        <v>55</v>
      </c>
      <c r="AD272" s="10" t="s">
        <v>44</v>
      </c>
      <c r="AE272" s="11" t="s">
        <v>215</v>
      </c>
      <c r="AF272" s="11" t="s">
        <v>216</v>
      </c>
    </row>
    <row r="273" spans="1:32" s="11" customFormat="1">
      <c r="A273" s="9" t="s">
        <v>213</v>
      </c>
      <c r="B273" s="11" t="s">
        <v>217</v>
      </c>
      <c r="C273" s="10">
        <v>41</v>
      </c>
      <c r="D273" s="10">
        <v>1450054</v>
      </c>
      <c r="E273" s="10">
        <v>168353</v>
      </c>
      <c r="F273" s="10">
        <v>40728</v>
      </c>
      <c r="G273" s="10" t="s">
        <v>218</v>
      </c>
      <c r="H273" s="10"/>
      <c r="I273" s="10"/>
      <c r="J273" s="10"/>
      <c r="K273" s="10"/>
      <c r="L273" s="10"/>
      <c r="M273" s="10">
        <v>0</v>
      </c>
      <c r="N273" s="10"/>
      <c r="O273" s="10"/>
      <c r="P273" s="10"/>
      <c r="Q273" s="10"/>
      <c r="R273" s="10" t="s">
        <v>40</v>
      </c>
      <c r="S273" s="11">
        <v>6</v>
      </c>
      <c r="T273" s="11">
        <v>12</v>
      </c>
      <c r="U273" s="10">
        <v>65340</v>
      </c>
      <c r="V273" s="10"/>
      <c r="W273" s="10">
        <v>500</v>
      </c>
      <c r="X273" s="10">
        <v>30000</v>
      </c>
      <c r="Y273" s="10">
        <v>5000</v>
      </c>
      <c r="Z273" s="10" t="s">
        <v>214</v>
      </c>
      <c r="AA273" s="11" t="s">
        <v>192</v>
      </c>
      <c r="AB273" s="10" t="s">
        <v>117</v>
      </c>
      <c r="AC273" s="10" t="s">
        <v>55</v>
      </c>
      <c r="AD273" s="10" t="s">
        <v>44</v>
      </c>
      <c r="AE273" s="11" t="s">
        <v>215</v>
      </c>
      <c r="AF273" s="11" t="s">
        <v>216</v>
      </c>
    </row>
    <row r="274" spans="1:32" s="11" customFormat="1">
      <c r="A274" s="9" t="s">
        <v>213</v>
      </c>
      <c r="B274" s="11" t="s">
        <v>49</v>
      </c>
      <c r="C274" s="10">
        <v>1441139</v>
      </c>
      <c r="D274" s="10">
        <v>1557157</v>
      </c>
      <c r="E274" s="10">
        <v>224137</v>
      </c>
      <c r="F274" s="10">
        <v>96512</v>
      </c>
      <c r="G274" s="11" t="s">
        <v>218</v>
      </c>
      <c r="J274" s="10"/>
      <c r="K274" s="10"/>
      <c r="L274" s="10"/>
      <c r="M274" s="10">
        <v>0</v>
      </c>
      <c r="N274" s="10"/>
      <c r="O274" s="10"/>
      <c r="P274" s="10"/>
      <c r="Q274" s="10"/>
      <c r="R274" s="10" t="s">
        <v>40</v>
      </c>
      <c r="S274" s="11">
        <v>6</v>
      </c>
      <c r="T274" s="11">
        <v>12</v>
      </c>
      <c r="U274" s="10">
        <v>65340</v>
      </c>
      <c r="V274" s="10"/>
      <c r="W274" s="10">
        <v>500</v>
      </c>
      <c r="X274" s="10">
        <v>30000</v>
      </c>
      <c r="Y274" s="10">
        <v>5000</v>
      </c>
      <c r="Z274" s="10" t="s">
        <v>214</v>
      </c>
      <c r="AA274" s="11" t="s">
        <v>192</v>
      </c>
      <c r="AB274" s="11" t="s">
        <v>117</v>
      </c>
      <c r="AC274" s="10" t="s">
        <v>55</v>
      </c>
      <c r="AD274" s="10" t="s">
        <v>44</v>
      </c>
      <c r="AE274" s="11" t="s">
        <v>215</v>
      </c>
      <c r="AF274" s="11" t="s">
        <v>216</v>
      </c>
    </row>
    <row r="275" spans="1:32" s="11" customFormat="1">
      <c r="A275" s="9" t="s">
        <v>213</v>
      </c>
      <c r="B275" s="11" t="s">
        <v>219</v>
      </c>
      <c r="C275" s="10">
        <v>1409930</v>
      </c>
      <c r="D275" s="10">
        <v>1525910</v>
      </c>
      <c r="E275" s="10">
        <v>220385</v>
      </c>
      <c r="F275" s="10">
        <v>92760</v>
      </c>
      <c r="J275" s="10"/>
      <c r="K275" s="10"/>
      <c r="L275" s="10"/>
      <c r="M275" s="10">
        <v>0</v>
      </c>
      <c r="N275" s="10"/>
      <c r="O275" s="10"/>
      <c r="P275" s="10"/>
      <c r="Q275" s="10"/>
      <c r="R275" s="10" t="s">
        <v>40</v>
      </c>
      <c r="S275" s="11">
        <v>6</v>
      </c>
      <c r="T275" s="11">
        <v>12</v>
      </c>
      <c r="U275" s="10">
        <v>65340</v>
      </c>
      <c r="V275" s="10"/>
      <c r="W275" s="10">
        <v>500</v>
      </c>
      <c r="X275" s="10">
        <v>30000</v>
      </c>
      <c r="Y275" s="10">
        <v>5000</v>
      </c>
      <c r="Z275" s="10" t="s">
        <v>214</v>
      </c>
      <c r="AA275" s="11" t="s">
        <v>192</v>
      </c>
      <c r="AB275" s="11" t="s">
        <v>117</v>
      </c>
      <c r="AC275" s="10" t="s">
        <v>55</v>
      </c>
      <c r="AD275" s="10" t="s">
        <v>220</v>
      </c>
      <c r="AE275" s="11" t="s">
        <v>215</v>
      </c>
      <c r="AF275" s="11" t="s">
        <v>216</v>
      </c>
    </row>
    <row r="276" spans="1:32" s="11" customFormat="1">
      <c r="A276" s="9" t="s">
        <v>213</v>
      </c>
      <c r="B276" s="11" t="s">
        <v>221</v>
      </c>
      <c r="C276" s="10">
        <v>1409938</v>
      </c>
      <c r="D276" s="10">
        <v>1525918</v>
      </c>
      <c r="E276" s="10">
        <v>220386</v>
      </c>
      <c r="F276" s="10">
        <v>92761</v>
      </c>
      <c r="R276" s="10" t="s">
        <v>40</v>
      </c>
      <c r="S276" s="11">
        <v>6</v>
      </c>
      <c r="T276" s="11">
        <v>12</v>
      </c>
      <c r="U276" s="10">
        <v>65340</v>
      </c>
      <c r="V276" s="10"/>
      <c r="W276" s="10">
        <v>500</v>
      </c>
      <c r="X276" s="10">
        <v>30000</v>
      </c>
      <c r="Y276" s="10">
        <v>5000</v>
      </c>
      <c r="Z276" s="10" t="s">
        <v>214</v>
      </c>
      <c r="AA276" s="11" t="s">
        <v>192</v>
      </c>
      <c r="AB276" s="11" t="s">
        <v>117</v>
      </c>
      <c r="AC276" s="10" t="s">
        <v>55</v>
      </c>
      <c r="AD276" s="10" t="s">
        <v>44</v>
      </c>
      <c r="AE276" s="11" t="s">
        <v>215</v>
      </c>
      <c r="AF276" s="11" t="s">
        <v>216</v>
      </c>
    </row>
    <row r="277" spans="1:32">
      <c r="A277" s="1" t="s">
        <v>213</v>
      </c>
      <c r="B277" t="s">
        <v>222</v>
      </c>
      <c r="C277" s="3">
        <v>1219890</v>
      </c>
      <c r="D277" s="3">
        <v>524794</v>
      </c>
      <c r="E277" s="3">
        <v>86975</v>
      </c>
      <c r="F277" s="3">
        <v>21744</v>
      </c>
      <c r="G277" s="3">
        <v>175044</v>
      </c>
      <c r="H277" s="3">
        <v>6438</v>
      </c>
      <c r="I277" s="3"/>
      <c r="J277" s="3">
        <v>0</v>
      </c>
      <c r="K277" s="3"/>
      <c r="L277" s="3"/>
      <c r="M277" s="3">
        <v>0</v>
      </c>
      <c r="N277" s="3"/>
      <c r="O277" s="3">
        <v>519598</v>
      </c>
      <c r="P277">
        <v>51959</v>
      </c>
      <c r="Q277" s="3">
        <v>700291</v>
      </c>
      <c r="R277" s="3" t="s">
        <v>40</v>
      </c>
      <c r="S277">
        <v>4</v>
      </c>
      <c r="T277">
        <v>8</v>
      </c>
      <c r="U277" s="3">
        <v>43560</v>
      </c>
      <c r="V277" s="3"/>
      <c r="W277" s="3">
        <v>500</v>
      </c>
      <c r="X277" s="3">
        <v>0</v>
      </c>
      <c r="Y277" s="3">
        <v>5000</v>
      </c>
      <c r="Z277" s="3" t="s">
        <v>223</v>
      </c>
      <c r="AA277" t="s">
        <v>224</v>
      </c>
      <c r="AB277" s="3">
        <v>200200</v>
      </c>
      <c r="AC277" s="5" t="s">
        <v>55</v>
      </c>
      <c r="AD277" s="4" t="s">
        <v>44</v>
      </c>
      <c r="AE277" t="s">
        <v>215</v>
      </c>
      <c r="AF277" t="s">
        <v>216</v>
      </c>
    </row>
    <row r="278" spans="1:32">
      <c r="A278" s="1" t="s">
        <v>213</v>
      </c>
      <c r="B278" s="13" t="s">
        <v>62</v>
      </c>
      <c r="C278" s="12">
        <v>1049972</v>
      </c>
      <c r="D278" s="12">
        <v>449025</v>
      </c>
      <c r="E278" s="12">
        <v>86975</v>
      </c>
      <c r="F278" s="12">
        <v>21744</v>
      </c>
      <c r="G278" s="12">
        <v>100025</v>
      </c>
      <c r="H278" s="12">
        <v>6438</v>
      </c>
      <c r="I278" s="12"/>
      <c r="J278" s="12">
        <v>0</v>
      </c>
      <c r="K278" s="12"/>
      <c r="L278" s="12"/>
      <c r="M278" s="12">
        <v>0</v>
      </c>
      <c r="N278" s="12"/>
      <c r="O278" s="12">
        <v>444579</v>
      </c>
      <c r="P278" s="12">
        <v>44457</v>
      </c>
      <c r="Q278" s="12">
        <v>605392</v>
      </c>
      <c r="R278" s="12" t="s">
        <v>40</v>
      </c>
      <c r="S278">
        <v>4</v>
      </c>
      <c r="T278">
        <v>8</v>
      </c>
      <c r="U278" s="3">
        <v>43560</v>
      </c>
      <c r="V278" s="3"/>
      <c r="W278" s="3">
        <v>500</v>
      </c>
      <c r="X278" s="3">
        <v>0</v>
      </c>
      <c r="Y278" s="3">
        <v>5000</v>
      </c>
      <c r="Z278" s="3" t="s">
        <v>223</v>
      </c>
      <c r="AA278" t="s">
        <v>224</v>
      </c>
      <c r="AB278" s="3">
        <v>200200</v>
      </c>
      <c r="AC278" s="5" t="s">
        <v>55</v>
      </c>
      <c r="AD278" s="4" t="s">
        <v>44</v>
      </c>
      <c r="AE278" t="s">
        <v>215</v>
      </c>
      <c r="AF278" t="s">
        <v>216</v>
      </c>
    </row>
    <row r="279" spans="1:32">
      <c r="A279" s="1" t="s">
        <v>213</v>
      </c>
      <c r="B279" s="13" t="s">
        <v>63</v>
      </c>
      <c r="C279" s="12">
        <v>1106611</v>
      </c>
      <c r="D279" s="12">
        <v>474281</v>
      </c>
      <c r="E279" s="12">
        <v>86975</v>
      </c>
      <c r="F279" s="12">
        <v>21744</v>
      </c>
      <c r="G279" s="12">
        <v>125031</v>
      </c>
      <c r="H279" s="12">
        <v>6438</v>
      </c>
      <c r="I279" s="12"/>
      <c r="J279" s="12">
        <v>0</v>
      </c>
      <c r="K279" s="12"/>
      <c r="L279" s="12"/>
      <c r="M279" s="12">
        <v>0</v>
      </c>
      <c r="N279" s="12"/>
      <c r="O279" s="12">
        <v>469585</v>
      </c>
      <c r="P279" s="12">
        <v>46958</v>
      </c>
      <c r="Q279" s="12">
        <v>637025</v>
      </c>
      <c r="R279" s="12" t="s">
        <v>40</v>
      </c>
      <c r="S279">
        <v>4</v>
      </c>
      <c r="T279">
        <v>8</v>
      </c>
      <c r="U279" s="3">
        <v>43560</v>
      </c>
      <c r="V279" s="3"/>
      <c r="W279" s="3">
        <v>500</v>
      </c>
      <c r="X279" s="3">
        <v>0</v>
      </c>
      <c r="Y279" s="3">
        <v>5000</v>
      </c>
      <c r="Z279" s="3" t="s">
        <v>223</v>
      </c>
      <c r="AA279" t="s">
        <v>224</v>
      </c>
      <c r="AB279" s="3">
        <v>200200</v>
      </c>
      <c r="AC279" s="5" t="s">
        <v>55</v>
      </c>
      <c r="AD279" s="4" t="s">
        <v>44</v>
      </c>
      <c r="AE279" t="s">
        <v>215</v>
      </c>
      <c r="AF279" t="s">
        <v>216</v>
      </c>
    </row>
    <row r="280" spans="1:32">
      <c r="A280" s="1" t="s">
        <v>213</v>
      </c>
      <c r="B280" s="13" t="s">
        <v>121</v>
      </c>
      <c r="C280" s="12">
        <v>1143372</v>
      </c>
      <c r="D280" s="12">
        <v>492429</v>
      </c>
      <c r="E280" s="12">
        <v>96448</v>
      </c>
      <c r="F280" s="12">
        <v>24112</v>
      </c>
      <c r="G280" s="12">
        <v>105473</v>
      </c>
      <c r="H280" s="12">
        <v>7139</v>
      </c>
      <c r="I280" s="12"/>
      <c r="J280" s="12">
        <v>0</v>
      </c>
      <c r="K280" s="12"/>
      <c r="L280" s="12"/>
      <c r="M280" s="12">
        <v>0</v>
      </c>
      <c r="N280" s="12"/>
      <c r="O280" s="12">
        <v>487554</v>
      </c>
      <c r="P280" s="12">
        <v>48755</v>
      </c>
      <c r="Q280" s="12">
        <v>655818</v>
      </c>
      <c r="R280" s="12" t="s">
        <v>40</v>
      </c>
      <c r="S280">
        <v>4</v>
      </c>
      <c r="T280">
        <v>8</v>
      </c>
      <c r="U280" s="3">
        <v>43560</v>
      </c>
      <c r="V280" s="3"/>
      <c r="W280" s="3">
        <v>500</v>
      </c>
      <c r="X280" s="3">
        <v>0</v>
      </c>
      <c r="Y280" s="3">
        <v>5000</v>
      </c>
      <c r="Z280" s="3" t="s">
        <v>223</v>
      </c>
      <c r="AA280" t="s">
        <v>224</v>
      </c>
      <c r="AB280" s="3">
        <v>200200</v>
      </c>
      <c r="AC280" s="5" t="s">
        <v>55</v>
      </c>
      <c r="AD280" s="4" t="s">
        <v>44</v>
      </c>
      <c r="AE280" t="s">
        <v>215</v>
      </c>
      <c r="AF280" t="s">
        <v>216</v>
      </c>
    </row>
    <row r="281" spans="1:32">
      <c r="A281" s="1" t="s">
        <v>213</v>
      </c>
      <c r="B281" s="3" t="s">
        <v>73</v>
      </c>
      <c r="C281" s="12">
        <v>374841</v>
      </c>
      <c r="D281" s="12">
        <v>202607</v>
      </c>
      <c r="E281" s="12">
        <v>102614</v>
      </c>
      <c r="F281" s="12">
        <v>11703</v>
      </c>
      <c r="G281" s="12">
        <v>68741</v>
      </c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 t="s">
        <v>40</v>
      </c>
      <c r="S281">
        <v>4</v>
      </c>
      <c r="T281">
        <v>8</v>
      </c>
      <c r="U281" s="3">
        <v>43560</v>
      </c>
      <c r="V281" s="3"/>
      <c r="W281" s="3">
        <v>500</v>
      </c>
      <c r="X281" s="3">
        <v>0</v>
      </c>
      <c r="Y281" s="3">
        <v>5000</v>
      </c>
      <c r="Z281" s="3" t="s">
        <v>223</v>
      </c>
      <c r="AA281" t="s">
        <v>224</v>
      </c>
      <c r="AB281" s="3">
        <v>200200</v>
      </c>
      <c r="AC281" s="5" t="s">
        <v>55</v>
      </c>
      <c r="AD281" s="4" t="s">
        <v>44</v>
      </c>
      <c r="AE281" t="s">
        <v>215</v>
      </c>
      <c r="AF281" t="s">
        <v>216</v>
      </c>
    </row>
    <row r="282" spans="1:32">
      <c r="A282" s="1" t="s">
        <v>213</v>
      </c>
      <c r="B282" s="3" t="s">
        <v>74</v>
      </c>
      <c r="C282" s="12">
        <v>566379</v>
      </c>
      <c r="D282" s="12">
        <v>396060</v>
      </c>
      <c r="E282" s="12">
        <v>102614</v>
      </c>
      <c r="F282" s="12">
        <v>11703</v>
      </c>
      <c r="G282" s="12">
        <v>106931</v>
      </c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 t="s">
        <v>40</v>
      </c>
      <c r="S282">
        <v>4</v>
      </c>
      <c r="T282">
        <v>8</v>
      </c>
      <c r="U282" s="3">
        <v>43560</v>
      </c>
      <c r="V282" s="3"/>
      <c r="W282" s="3">
        <v>500</v>
      </c>
      <c r="X282" s="3">
        <v>0</v>
      </c>
      <c r="Y282" s="3">
        <v>5000</v>
      </c>
      <c r="Z282" s="3" t="s">
        <v>223</v>
      </c>
      <c r="AA282" t="s">
        <v>224</v>
      </c>
      <c r="AB282" s="3">
        <v>200200</v>
      </c>
      <c r="AC282" s="5" t="s">
        <v>55</v>
      </c>
      <c r="AD282" s="4" t="s">
        <v>44</v>
      </c>
      <c r="AE282" t="s">
        <v>215</v>
      </c>
      <c r="AF282" t="s">
        <v>216</v>
      </c>
    </row>
    <row r="283" spans="1:32">
      <c r="A283" s="1" t="s">
        <v>213</v>
      </c>
      <c r="B283" s="34" t="s">
        <v>75</v>
      </c>
      <c r="C283" s="34">
        <v>596126</v>
      </c>
      <c r="D283" s="34">
        <v>426105</v>
      </c>
      <c r="E283" s="34">
        <v>116657</v>
      </c>
      <c r="F283" s="34">
        <v>12182</v>
      </c>
      <c r="G283" s="34">
        <v>106931</v>
      </c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 t="s">
        <v>40</v>
      </c>
      <c r="S283">
        <v>4</v>
      </c>
      <c r="T283">
        <v>8</v>
      </c>
      <c r="U283" s="3">
        <v>43560</v>
      </c>
      <c r="V283" s="3"/>
      <c r="W283" s="3">
        <v>500</v>
      </c>
      <c r="X283" s="3">
        <v>0</v>
      </c>
      <c r="Y283" s="3">
        <v>5000</v>
      </c>
      <c r="Z283" s="3" t="s">
        <v>223</v>
      </c>
      <c r="AA283" t="s">
        <v>224</v>
      </c>
      <c r="AB283" s="3">
        <v>200200</v>
      </c>
      <c r="AC283" s="5" t="s">
        <v>55</v>
      </c>
      <c r="AD283" s="4" t="s">
        <v>44</v>
      </c>
      <c r="AE283" t="s">
        <v>215</v>
      </c>
      <c r="AF283" t="s">
        <v>216</v>
      </c>
    </row>
    <row r="284" spans="1:32">
      <c r="A284" s="1" t="s">
        <v>213</v>
      </c>
      <c r="B284" s="38" t="s">
        <v>78</v>
      </c>
      <c r="C284" s="38">
        <v>2946830</v>
      </c>
      <c r="D284" s="38">
        <v>428351</v>
      </c>
      <c r="E284" s="38">
        <v>117691</v>
      </c>
      <c r="F284" s="38">
        <v>11800</v>
      </c>
      <c r="G284" s="38">
        <v>107534</v>
      </c>
      <c r="H284" s="38">
        <v>45529</v>
      </c>
      <c r="I284" s="38"/>
      <c r="J284" s="38">
        <v>0</v>
      </c>
      <c r="K284" s="38"/>
      <c r="L284" s="38"/>
      <c r="M284" s="38">
        <v>261360</v>
      </c>
      <c r="N284" s="38"/>
      <c r="O284" s="38">
        <v>424110</v>
      </c>
      <c r="P284" s="38">
        <v>42411</v>
      </c>
      <c r="Q284" s="38">
        <v>575878</v>
      </c>
      <c r="R284" s="38" t="s">
        <v>40</v>
      </c>
      <c r="S284">
        <v>4</v>
      </c>
      <c r="T284">
        <v>8</v>
      </c>
      <c r="U284" s="3">
        <v>43560</v>
      </c>
      <c r="V284" s="3">
        <v>6</v>
      </c>
      <c r="W284" s="3">
        <v>500</v>
      </c>
      <c r="X284" s="3">
        <v>0</v>
      </c>
      <c r="Y284" s="3">
        <v>5000</v>
      </c>
      <c r="Z284" s="3" t="s">
        <v>223</v>
      </c>
      <c r="AA284" t="s">
        <v>224</v>
      </c>
      <c r="AB284" s="3">
        <v>200200</v>
      </c>
      <c r="AC284" s="5" t="s">
        <v>55</v>
      </c>
      <c r="AD284" s="4" t="s">
        <v>44</v>
      </c>
      <c r="AE284" t="s">
        <v>215</v>
      </c>
      <c r="AF284" t="s">
        <v>216</v>
      </c>
    </row>
    <row r="285" spans="1:32">
      <c r="A285" s="1" t="s">
        <v>213</v>
      </c>
      <c r="B285" t="s">
        <v>82</v>
      </c>
      <c r="C285" s="3">
        <v>3073470</v>
      </c>
      <c r="D285" s="3">
        <v>556258</v>
      </c>
      <c r="E285" s="3">
        <v>105922</v>
      </c>
      <c r="F285" s="3">
        <v>10620</v>
      </c>
      <c r="G285" s="3">
        <v>142098</v>
      </c>
      <c r="H285" s="38">
        <v>60164</v>
      </c>
      <c r="I285" s="38"/>
      <c r="J285" s="38">
        <v>0</v>
      </c>
      <c r="K285" s="38"/>
      <c r="L285" s="38"/>
      <c r="M285" s="38">
        <v>261360</v>
      </c>
      <c r="N285" s="38"/>
      <c r="O285" s="38">
        <v>550750</v>
      </c>
      <c r="P285" s="38">
        <v>55075</v>
      </c>
      <c r="Q285" s="38">
        <v>735445</v>
      </c>
      <c r="R285" s="38" t="s">
        <v>40</v>
      </c>
      <c r="S285">
        <v>4</v>
      </c>
      <c r="T285">
        <v>8</v>
      </c>
      <c r="U285" s="3">
        <v>43560</v>
      </c>
      <c r="V285" s="3">
        <v>6</v>
      </c>
      <c r="W285" s="3">
        <v>500</v>
      </c>
      <c r="X285" s="3">
        <v>0</v>
      </c>
      <c r="Y285" s="3">
        <v>5000</v>
      </c>
      <c r="Z285" s="3" t="s">
        <v>223</v>
      </c>
      <c r="AA285" t="s">
        <v>224</v>
      </c>
      <c r="AB285" s="3">
        <v>200200</v>
      </c>
      <c r="AC285" s="5" t="s">
        <v>55</v>
      </c>
      <c r="AD285" s="4" t="s">
        <v>44</v>
      </c>
      <c r="AE285" t="s">
        <v>215</v>
      </c>
      <c r="AF285" t="s">
        <v>216</v>
      </c>
    </row>
    <row r="286" spans="1:32">
      <c r="A286" s="1" t="s">
        <v>213</v>
      </c>
      <c r="B286" t="s">
        <v>83</v>
      </c>
      <c r="C286" s="3">
        <v>2701765</v>
      </c>
      <c r="D286" s="3">
        <v>532800</v>
      </c>
      <c r="E286" s="3">
        <v>108864</v>
      </c>
      <c r="F286" s="3">
        <v>10915</v>
      </c>
      <c r="G286" s="3">
        <v>107567</v>
      </c>
      <c r="R286" t="s">
        <v>40</v>
      </c>
      <c r="S286">
        <v>4</v>
      </c>
      <c r="T286">
        <v>8</v>
      </c>
      <c r="U286" s="3">
        <v>43560</v>
      </c>
      <c r="V286" s="3">
        <v>6</v>
      </c>
      <c r="W286" s="3">
        <v>500</v>
      </c>
      <c r="X286" s="3">
        <v>0</v>
      </c>
      <c r="Y286" s="3">
        <v>5000</v>
      </c>
      <c r="Z286" s="3" t="s">
        <v>223</v>
      </c>
      <c r="AA286" t="s">
        <v>224</v>
      </c>
      <c r="AB286" s="3">
        <v>200200</v>
      </c>
      <c r="AC286" s="5" t="s">
        <v>55</v>
      </c>
      <c r="AD286" s="4" t="s">
        <v>44</v>
      </c>
      <c r="AE286" t="s">
        <v>215</v>
      </c>
      <c r="AF286" t="s">
        <v>216</v>
      </c>
    </row>
    <row r="287" spans="1:32">
      <c r="A287" s="1" t="s">
        <v>213</v>
      </c>
      <c r="B287" t="s">
        <v>84</v>
      </c>
      <c r="C287" s="3"/>
      <c r="D287" s="3"/>
      <c r="E287" s="3"/>
      <c r="F287" s="3"/>
      <c r="G287" s="3"/>
      <c r="R287" t="s">
        <v>40</v>
      </c>
      <c r="S287">
        <v>4</v>
      </c>
      <c r="T287">
        <v>8</v>
      </c>
      <c r="U287" s="3">
        <v>43560</v>
      </c>
      <c r="V287" s="3">
        <v>6</v>
      </c>
      <c r="W287" s="3">
        <v>500</v>
      </c>
      <c r="X287" s="3">
        <v>0</v>
      </c>
      <c r="Y287" s="3">
        <v>5000</v>
      </c>
      <c r="Z287" s="3" t="s">
        <v>223</v>
      </c>
      <c r="AA287" t="s">
        <v>224</v>
      </c>
      <c r="AB287" s="3">
        <v>200200</v>
      </c>
      <c r="AC287" s="5" t="s">
        <v>55</v>
      </c>
      <c r="AD287" s="4" t="s">
        <v>44</v>
      </c>
      <c r="AE287" t="s">
        <v>215</v>
      </c>
      <c r="AF287" t="s">
        <v>216</v>
      </c>
    </row>
    <row r="288" spans="1:32">
      <c r="A288" s="1" t="s">
        <v>213</v>
      </c>
      <c r="B288" s="43" t="s">
        <v>85</v>
      </c>
      <c r="C288" s="44">
        <v>2692085</v>
      </c>
      <c r="D288" s="44">
        <v>523024</v>
      </c>
      <c r="E288" s="44">
        <v>105922</v>
      </c>
      <c r="F288" s="44">
        <v>10620</v>
      </c>
      <c r="G288" s="44">
        <v>107567</v>
      </c>
      <c r="R288" t="s">
        <v>40</v>
      </c>
      <c r="S288">
        <v>4</v>
      </c>
      <c r="T288">
        <v>8</v>
      </c>
      <c r="U288" s="3">
        <v>43560</v>
      </c>
      <c r="V288" s="3">
        <v>6</v>
      </c>
      <c r="W288" s="3">
        <v>500</v>
      </c>
      <c r="X288" s="3">
        <v>0</v>
      </c>
      <c r="Y288" s="3">
        <v>5000</v>
      </c>
      <c r="Z288" s="3" t="s">
        <v>223</v>
      </c>
      <c r="AA288" t="s">
        <v>224</v>
      </c>
      <c r="AB288" s="3">
        <v>200200</v>
      </c>
      <c r="AC288" s="5" t="s">
        <v>55</v>
      </c>
      <c r="AD288" s="4" t="s">
        <v>44</v>
      </c>
      <c r="AE288" t="s">
        <v>215</v>
      </c>
      <c r="AF288" t="s">
        <v>216</v>
      </c>
    </row>
    <row r="289" spans="1:32">
      <c r="A289" s="1" t="s">
        <v>213</v>
      </c>
      <c r="B289" s="45" t="s">
        <v>86</v>
      </c>
      <c r="C289" s="46"/>
      <c r="D289" s="46"/>
      <c r="E289" s="46"/>
      <c r="F289" s="46"/>
      <c r="G289" s="46"/>
      <c r="R289" t="s">
        <v>40</v>
      </c>
      <c r="S289">
        <v>4</v>
      </c>
      <c r="T289">
        <v>8</v>
      </c>
      <c r="U289" s="3">
        <v>43560</v>
      </c>
      <c r="V289" s="3">
        <v>6</v>
      </c>
      <c r="W289" s="3">
        <v>500</v>
      </c>
      <c r="X289" s="3">
        <v>0</v>
      </c>
      <c r="Y289" s="3">
        <v>5000</v>
      </c>
      <c r="Z289" s="3" t="s">
        <v>223</v>
      </c>
      <c r="AA289" t="s">
        <v>224</v>
      </c>
      <c r="AB289" s="3">
        <v>200200</v>
      </c>
      <c r="AC289" s="5" t="s">
        <v>55</v>
      </c>
      <c r="AD289" s="4" t="s">
        <v>44</v>
      </c>
      <c r="AE289" t="s">
        <v>215</v>
      </c>
      <c r="AF289" t="s">
        <v>216</v>
      </c>
    </row>
    <row r="290" spans="1:32">
      <c r="A290" s="1" t="s">
        <v>213</v>
      </c>
      <c r="B290" t="s">
        <v>91</v>
      </c>
      <c r="C290" s="3">
        <v>3027216</v>
      </c>
      <c r="D290" s="3">
        <v>861506</v>
      </c>
      <c r="E290" s="3">
        <v>118839</v>
      </c>
      <c r="F290" s="3">
        <v>23196</v>
      </c>
      <c r="G290" s="3">
        <v>242714</v>
      </c>
      <c r="H290" s="3">
        <v>113734</v>
      </c>
      <c r="I290" s="3"/>
      <c r="R290" t="s">
        <v>40</v>
      </c>
      <c r="S290">
        <v>4</v>
      </c>
      <c r="T290">
        <v>8</v>
      </c>
      <c r="U290" s="3">
        <v>43560</v>
      </c>
      <c r="V290" s="3">
        <v>6</v>
      </c>
      <c r="W290" s="3">
        <v>500</v>
      </c>
      <c r="X290" s="3">
        <v>0</v>
      </c>
      <c r="Y290" s="3">
        <v>5000</v>
      </c>
      <c r="Z290" s="3" t="s">
        <v>223</v>
      </c>
      <c r="AA290" t="s">
        <v>224</v>
      </c>
      <c r="AB290" s="3">
        <v>200200</v>
      </c>
      <c r="AC290" s="5" t="s">
        <v>55</v>
      </c>
      <c r="AD290" s="4" t="s">
        <v>44</v>
      </c>
      <c r="AE290" t="s">
        <v>215</v>
      </c>
      <c r="AF290" t="s">
        <v>216</v>
      </c>
    </row>
    <row r="291" spans="1:32">
      <c r="A291" s="1" t="s">
        <v>213</v>
      </c>
      <c r="B291" s="36" t="s">
        <v>97</v>
      </c>
      <c r="C291" s="3">
        <v>4732528</v>
      </c>
      <c r="D291" s="3">
        <v>595706</v>
      </c>
      <c r="E291" s="3">
        <v>108582</v>
      </c>
      <c r="F291" s="3">
        <v>14309</v>
      </c>
      <c r="G291" s="3">
        <v>105752</v>
      </c>
      <c r="H291" s="3">
        <v>23161</v>
      </c>
      <c r="I291" s="3"/>
      <c r="J291" s="3">
        <v>0</v>
      </c>
      <c r="K291" s="3"/>
      <c r="L291" s="3"/>
      <c r="M291" s="3">
        <v>261360</v>
      </c>
      <c r="N291" s="3">
        <v>620000</v>
      </c>
      <c r="O291" s="3">
        <v>589807</v>
      </c>
      <c r="P291" s="3">
        <v>407246</v>
      </c>
      <c r="Q291" s="3">
        <v>182561</v>
      </c>
      <c r="R291" t="s">
        <v>40</v>
      </c>
      <c r="S291">
        <v>4</v>
      </c>
      <c r="T291">
        <v>8</v>
      </c>
      <c r="U291" s="3">
        <v>43560</v>
      </c>
      <c r="V291" s="3">
        <v>6</v>
      </c>
      <c r="W291" s="3">
        <v>500</v>
      </c>
      <c r="X291" s="3">
        <v>0</v>
      </c>
      <c r="Y291" s="3">
        <v>5000</v>
      </c>
      <c r="Z291" s="3" t="s">
        <v>223</v>
      </c>
      <c r="AA291" t="s">
        <v>224</v>
      </c>
      <c r="AB291" s="3">
        <v>200200</v>
      </c>
      <c r="AC291" s="5" t="s">
        <v>55</v>
      </c>
      <c r="AD291" s="4" t="s">
        <v>44</v>
      </c>
      <c r="AE291" t="s">
        <v>215</v>
      </c>
      <c r="AF291" t="s">
        <v>216</v>
      </c>
    </row>
    <row r="292" spans="1:32">
      <c r="A292" s="1"/>
      <c r="C292" s="3"/>
      <c r="D292" s="3"/>
      <c r="E292" s="3"/>
      <c r="F292" s="3"/>
      <c r="U292" s="3"/>
      <c r="V292" s="3"/>
      <c r="W292" s="3"/>
      <c r="X292" s="3"/>
      <c r="Y292" s="3"/>
      <c r="Z292" s="3"/>
      <c r="AD292" s="3"/>
    </row>
    <row r="293" spans="1:32" s="51" customFormat="1">
      <c r="A293" s="50" t="s">
        <v>225</v>
      </c>
      <c r="B293" s="50" t="s">
        <v>113</v>
      </c>
      <c r="C293" s="34"/>
      <c r="D293" s="34"/>
      <c r="E293" s="34"/>
      <c r="F293" s="34"/>
      <c r="U293" s="34"/>
      <c r="V293" s="34"/>
      <c r="W293" s="34"/>
      <c r="X293" s="34"/>
      <c r="Y293" s="34"/>
      <c r="Z293" s="34"/>
      <c r="AD293" s="34"/>
    </row>
    <row r="294" spans="1:32" s="8" customFormat="1">
      <c r="A294" s="6"/>
      <c r="C294" s="7"/>
      <c r="D294" s="7"/>
      <c r="E294" s="7"/>
      <c r="F294" s="7"/>
      <c r="U294" s="7"/>
      <c r="V294" s="7"/>
      <c r="W294" s="7"/>
      <c r="X294" s="7"/>
      <c r="Y294" s="7"/>
      <c r="Z294" s="7"/>
      <c r="AD294" s="7"/>
    </row>
    <row r="296" spans="1:32" ht="15.95">
      <c r="A296" s="16" t="s">
        <v>226</v>
      </c>
      <c r="B296" t="s">
        <v>121</v>
      </c>
      <c r="C296">
        <v>935693</v>
      </c>
      <c r="D296">
        <v>739979</v>
      </c>
      <c r="E296">
        <v>205962</v>
      </c>
      <c r="F296">
        <v>8582</v>
      </c>
      <c r="G296">
        <v>103180</v>
      </c>
      <c r="H296">
        <v>0</v>
      </c>
      <c r="J296">
        <v>0</v>
      </c>
      <c r="M296">
        <v>101520</v>
      </c>
      <c r="O296">
        <v>732653</v>
      </c>
      <c r="P296">
        <v>73265</v>
      </c>
      <c r="Q296">
        <v>936642</v>
      </c>
      <c r="R296" t="s">
        <v>40</v>
      </c>
      <c r="S296">
        <v>4</v>
      </c>
      <c r="T296">
        <v>2</v>
      </c>
      <c r="U296">
        <v>21780</v>
      </c>
      <c r="W296">
        <v>0</v>
      </c>
      <c r="X296">
        <v>0</v>
      </c>
      <c r="Y296">
        <v>4000</v>
      </c>
      <c r="Z296" t="s">
        <v>227</v>
      </c>
      <c r="AA296" t="s">
        <v>228</v>
      </c>
      <c r="AB296" t="s">
        <v>124</v>
      </c>
      <c r="AC296" t="s">
        <v>109</v>
      </c>
      <c r="AD296" t="s">
        <v>109</v>
      </c>
      <c r="AE296" t="s">
        <v>229</v>
      </c>
      <c r="AF296" t="s">
        <v>230</v>
      </c>
    </row>
    <row r="297" spans="1:32" ht="15.95">
      <c r="A297" s="16" t="s">
        <v>226</v>
      </c>
      <c r="B297" s="3" t="s">
        <v>74</v>
      </c>
      <c r="C297">
        <v>783125</v>
      </c>
      <c r="D297">
        <v>570978</v>
      </c>
      <c r="E297">
        <v>204381</v>
      </c>
      <c r="F297">
        <v>-2357</v>
      </c>
      <c r="G297">
        <v>158445</v>
      </c>
      <c r="R297" t="s">
        <v>40</v>
      </c>
      <c r="S297">
        <v>4</v>
      </c>
      <c r="T297">
        <v>2</v>
      </c>
      <c r="U297">
        <v>21780</v>
      </c>
      <c r="W297">
        <v>0</v>
      </c>
      <c r="X297">
        <v>0</v>
      </c>
      <c r="Y297">
        <v>4000</v>
      </c>
      <c r="Z297" t="s">
        <v>227</v>
      </c>
      <c r="AA297" t="s">
        <v>228</v>
      </c>
      <c r="AB297" t="s">
        <v>124</v>
      </c>
      <c r="AC297" t="s">
        <v>109</v>
      </c>
      <c r="AD297" t="s">
        <v>109</v>
      </c>
      <c r="AE297" t="s">
        <v>229</v>
      </c>
      <c r="AF297" t="s">
        <v>230</v>
      </c>
    </row>
    <row r="298" spans="1:32" ht="15.95">
      <c r="A298" s="16" t="s">
        <v>226</v>
      </c>
      <c r="B298" s="34" t="s">
        <v>75</v>
      </c>
      <c r="C298" s="34">
        <v>872090</v>
      </c>
      <c r="D298" s="34">
        <v>660833</v>
      </c>
      <c r="E298" s="34">
        <v>244927</v>
      </c>
      <c r="F298" s="34">
        <v>128</v>
      </c>
      <c r="G298" s="34">
        <v>158445</v>
      </c>
      <c r="R298" t="s">
        <v>40</v>
      </c>
      <c r="S298">
        <v>4</v>
      </c>
      <c r="T298">
        <v>2</v>
      </c>
      <c r="U298">
        <v>21780</v>
      </c>
      <c r="W298">
        <v>0</v>
      </c>
      <c r="X298">
        <v>0</v>
      </c>
      <c r="Y298">
        <v>4000</v>
      </c>
      <c r="Z298" t="s">
        <v>227</v>
      </c>
      <c r="AA298" t="s">
        <v>228</v>
      </c>
      <c r="AB298" t="s">
        <v>124</v>
      </c>
      <c r="AC298" t="s">
        <v>109</v>
      </c>
      <c r="AD298" t="s">
        <v>109</v>
      </c>
      <c r="AE298" t="s">
        <v>229</v>
      </c>
      <c r="AF298" t="s">
        <v>230</v>
      </c>
    </row>
    <row r="299" spans="1:32" ht="15.95">
      <c r="A299" s="16" t="s">
        <v>226</v>
      </c>
      <c r="B299" s="38" t="s">
        <v>78</v>
      </c>
      <c r="C299" s="38">
        <v>2440329</v>
      </c>
      <c r="D299" s="38">
        <v>584759</v>
      </c>
      <c r="E299" s="38">
        <v>209324</v>
      </c>
      <c r="F299" s="38">
        <v>1096</v>
      </c>
      <c r="G299" s="38">
        <v>152445</v>
      </c>
      <c r="H299" s="38">
        <v>0</v>
      </c>
      <c r="I299" s="38"/>
      <c r="J299" s="38">
        <v>0</v>
      </c>
      <c r="K299" s="38"/>
      <c r="L299" s="38"/>
      <c r="M299" s="38">
        <v>130680</v>
      </c>
      <c r="N299" s="38"/>
      <c r="O299" s="38">
        <v>578969</v>
      </c>
      <c r="P299" s="38">
        <v>57897</v>
      </c>
      <c r="Q299" s="38">
        <v>743001</v>
      </c>
      <c r="R299" s="38" t="s">
        <v>40</v>
      </c>
      <c r="S299">
        <v>4</v>
      </c>
      <c r="T299">
        <v>2</v>
      </c>
      <c r="U299">
        <v>21780</v>
      </c>
      <c r="V299">
        <v>6</v>
      </c>
      <c r="W299">
        <v>0</v>
      </c>
      <c r="X299">
        <v>0</v>
      </c>
      <c r="Y299">
        <v>4000</v>
      </c>
      <c r="Z299" t="s">
        <v>231</v>
      </c>
      <c r="AA299" t="s">
        <v>228</v>
      </c>
      <c r="AB299" t="s">
        <v>124</v>
      </c>
      <c r="AC299" t="s">
        <v>109</v>
      </c>
      <c r="AD299" t="s">
        <v>109</v>
      </c>
      <c r="AE299" t="s">
        <v>229</v>
      </c>
      <c r="AF299" t="s">
        <v>230</v>
      </c>
    </row>
    <row r="300" spans="1:32" ht="15.95">
      <c r="A300" s="16" t="s">
        <v>226</v>
      </c>
      <c r="B300" t="s">
        <v>82</v>
      </c>
      <c r="C300" s="3">
        <v>2614569</v>
      </c>
      <c r="D300" s="3">
        <v>584759</v>
      </c>
      <c r="E300" s="3">
        <v>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t="s">
        <v>40</v>
      </c>
      <c r="S300">
        <v>4</v>
      </c>
      <c r="T300">
        <v>2</v>
      </c>
      <c r="U300">
        <v>21780</v>
      </c>
      <c r="V300">
        <v>6</v>
      </c>
      <c r="W300">
        <v>0</v>
      </c>
      <c r="X300">
        <v>0</v>
      </c>
      <c r="Y300">
        <v>4000</v>
      </c>
      <c r="Z300" t="s">
        <v>231</v>
      </c>
      <c r="AA300" t="s">
        <v>228</v>
      </c>
      <c r="AB300" t="s">
        <v>124</v>
      </c>
      <c r="AC300" t="s">
        <v>109</v>
      </c>
      <c r="AD300" t="s">
        <v>109</v>
      </c>
      <c r="AE300" t="s">
        <v>229</v>
      </c>
      <c r="AF300" t="s">
        <v>230</v>
      </c>
    </row>
    <row r="301" spans="1:32" ht="15.95">
      <c r="A301" s="16" t="s">
        <v>226</v>
      </c>
      <c r="B301" t="s">
        <v>82</v>
      </c>
      <c r="C301" s="3">
        <v>2647104</v>
      </c>
      <c r="D301" s="3">
        <v>793601</v>
      </c>
      <c r="E301" s="3">
        <v>198858</v>
      </c>
      <c r="F301" s="3">
        <v>1041</v>
      </c>
      <c r="G301" s="3">
        <v>206890</v>
      </c>
      <c r="H301" s="38">
        <v>0</v>
      </c>
      <c r="I301" s="38"/>
      <c r="J301" s="38">
        <v>0</v>
      </c>
      <c r="K301" s="38"/>
      <c r="L301" s="38"/>
      <c r="M301" s="38">
        <v>130680</v>
      </c>
      <c r="N301" s="38"/>
      <c r="O301" s="3">
        <v>785744</v>
      </c>
      <c r="P301" s="3">
        <v>78574</v>
      </c>
      <c r="Q301" s="3">
        <v>1003537</v>
      </c>
      <c r="R301" t="s">
        <v>40</v>
      </c>
      <c r="S301">
        <v>4</v>
      </c>
      <c r="T301">
        <v>2</v>
      </c>
      <c r="U301">
        <v>21780</v>
      </c>
      <c r="V301">
        <v>6</v>
      </c>
      <c r="W301">
        <v>0</v>
      </c>
      <c r="X301">
        <v>0</v>
      </c>
      <c r="Y301">
        <v>4000</v>
      </c>
      <c r="Z301" t="s">
        <v>231</v>
      </c>
      <c r="AA301" t="s">
        <v>228</v>
      </c>
      <c r="AB301" t="s">
        <v>124</v>
      </c>
      <c r="AC301" t="s">
        <v>109</v>
      </c>
      <c r="AD301" t="s">
        <v>109</v>
      </c>
      <c r="AE301" t="s">
        <v>229</v>
      </c>
      <c r="AF301" t="s">
        <v>230</v>
      </c>
    </row>
    <row r="302" spans="1:32" ht="15.95">
      <c r="A302" s="16" t="s">
        <v>226</v>
      </c>
      <c r="B302" t="s">
        <v>83</v>
      </c>
      <c r="C302" s="3">
        <v>2572846</v>
      </c>
      <c r="D302" s="3">
        <v>762596</v>
      </c>
      <c r="E302" s="3">
        <v>198858</v>
      </c>
      <c r="F302" s="3">
        <v>1041</v>
      </c>
      <c r="G302" s="3">
        <v>176192</v>
      </c>
      <c r="R302" t="s">
        <v>40</v>
      </c>
      <c r="S302" s="25">
        <v>4</v>
      </c>
      <c r="T302" s="25">
        <v>2</v>
      </c>
      <c r="U302" s="25">
        <v>21780</v>
      </c>
      <c r="V302" s="25">
        <v>6</v>
      </c>
      <c r="W302" s="25">
        <v>0</v>
      </c>
      <c r="X302" s="25">
        <v>0</v>
      </c>
      <c r="Y302" s="25">
        <v>4000</v>
      </c>
      <c r="Z302" s="25" t="s">
        <v>231</v>
      </c>
      <c r="AA302" s="25" t="s">
        <v>228</v>
      </c>
      <c r="AB302" s="25" t="s">
        <v>124</v>
      </c>
      <c r="AC302" s="25" t="s">
        <v>109</v>
      </c>
      <c r="AD302" s="25" t="s">
        <v>109</v>
      </c>
      <c r="AE302" s="25" t="s">
        <v>229</v>
      </c>
      <c r="AF302" s="25" t="s">
        <v>230</v>
      </c>
    </row>
    <row r="303" spans="1:32" ht="15.95">
      <c r="A303" s="16" t="s">
        <v>226</v>
      </c>
      <c r="B303" t="s">
        <v>84</v>
      </c>
      <c r="C303" s="3"/>
      <c r="D303" s="3"/>
      <c r="E303" s="3"/>
      <c r="F303" s="3"/>
      <c r="G303" s="3"/>
      <c r="R303" t="s">
        <v>40</v>
      </c>
      <c r="S303" s="25">
        <v>4</v>
      </c>
      <c r="T303" s="25">
        <v>2</v>
      </c>
      <c r="U303" s="25">
        <v>21780</v>
      </c>
      <c r="V303" s="25">
        <v>6</v>
      </c>
      <c r="W303" s="25">
        <v>0</v>
      </c>
      <c r="X303" s="25">
        <v>0</v>
      </c>
      <c r="Y303" s="25">
        <v>4000</v>
      </c>
      <c r="Z303" s="25" t="s">
        <v>231</v>
      </c>
      <c r="AA303" s="25" t="s">
        <v>228</v>
      </c>
      <c r="AB303" s="25" t="s">
        <v>124</v>
      </c>
      <c r="AC303" s="25" t="s">
        <v>109</v>
      </c>
      <c r="AD303" s="25" t="s">
        <v>109</v>
      </c>
      <c r="AE303" s="25" t="s">
        <v>229</v>
      </c>
      <c r="AF303" s="25" t="s">
        <v>230</v>
      </c>
    </row>
    <row r="304" spans="1:32" ht="15.95">
      <c r="A304" s="16" t="s">
        <v>226</v>
      </c>
      <c r="B304" s="43" t="s">
        <v>85</v>
      </c>
      <c r="C304" s="44">
        <v>2533106</v>
      </c>
      <c r="D304" s="44">
        <v>722459</v>
      </c>
      <c r="E304" s="44">
        <v>188392</v>
      </c>
      <c r="F304" s="44">
        <v>986</v>
      </c>
      <c r="G304" s="44">
        <v>166919</v>
      </c>
      <c r="R304" t="s">
        <v>40</v>
      </c>
      <c r="S304" s="25">
        <v>4</v>
      </c>
      <c r="T304" s="25">
        <v>2</v>
      </c>
      <c r="U304" s="25">
        <v>21780</v>
      </c>
      <c r="V304" s="25">
        <v>6</v>
      </c>
      <c r="W304" s="25">
        <v>0</v>
      </c>
      <c r="X304" s="25">
        <v>0</v>
      </c>
      <c r="Y304" s="25">
        <v>4000</v>
      </c>
      <c r="Z304" s="25" t="s">
        <v>231</v>
      </c>
      <c r="AA304" s="25" t="s">
        <v>228</v>
      </c>
      <c r="AB304" s="25" t="s">
        <v>124</v>
      </c>
      <c r="AC304" s="25" t="s">
        <v>109</v>
      </c>
      <c r="AD304" s="25" t="s">
        <v>109</v>
      </c>
      <c r="AE304" s="25" t="s">
        <v>229</v>
      </c>
      <c r="AF304" s="25" t="s">
        <v>230</v>
      </c>
    </row>
    <row r="305" spans="1:32" ht="15.95">
      <c r="A305" s="16" t="s">
        <v>226</v>
      </c>
      <c r="B305" s="45" t="s">
        <v>86</v>
      </c>
      <c r="C305" s="46"/>
      <c r="D305" s="46"/>
      <c r="E305" s="46"/>
      <c r="F305" s="46"/>
      <c r="G305" s="46"/>
      <c r="R305" t="s">
        <v>40</v>
      </c>
      <c r="S305" s="25">
        <v>4</v>
      </c>
      <c r="T305" s="25">
        <v>2</v>
      </c>
      <c r="U305" s="25">
        <v>21780</v>
      </c>
      <c r="V305" s="25">
        <v>6</v>
      </c>
      <c r="W305" s="25">
        <v>0</v>
      </c>
      <c r="X305" s="25">
        <v>0</v>
      </c>
      <c r="Y305" s="25">
        <v>4000</v>
      </c>
      <c r="Z305" s="25" t="s">
        <v>231</v>
      </c>
      <c r="AA305" s="25" t="s">
        <v>228</v>
      </c>
      <c r="AB305" s="25" t="s">
        <v>124</v>
      </c>
      <c r="AC305" s="25" t="s">
        <v>109</v>
      </c>
      <c r="AD305" s="25" t="s">
        <v>109</v>
      </c>
      <c r="AE305" s="25" t="s">
        <v>229</v>
      </c>
      <c r="AF305" s="25" t="s">
        <v>230</v>
      </c>
    </row>
    <row r="306" spans="1:32" ht="15.95">
      <c r="A306" s="16" t="s">
        <v>226</v>
      </c>
      <c r="B306" s="36" t="s">
        <v>97</v>
      </c>
      <c r="C306" s="3">
        <v>4064875</v>
      </c>
      <c r="D306" s="3">
        <v>791350</v>
      </c>
      <c r="E306" s="3">
        <v>193450</v>
      </c>
      <c r="F306" s="3">
        <v>2325</v>
      </c>
      <c r="G306" s="3">
        <v>126168</v>
      </c>
      <c r="H306" s="3">
        <v>0</v>
      </c>
      <c r="I306" s="3"/>
      <c r="J306" s="3">
        <v>0</v>
      </c>
      <c r="K306" s="3"/>
      <c r="L306" s="3"/>
      <c r="M306" s="3">
        <v>130680</v>
      </c>
      <c r="N306" s="3">
        <v>3020000</v>
      </c>
      <c r="O306" s="3">
        <v>783515</v>
      </c>
      <c r="P306" s="3">
        <v>559935</v>
      </c>
      <c r="Q306" s="3">
        <v>223579</v>
      </c>
      <c r="R306" t="s">
        <v>40</v>
      </c>
      <c r="S306" s="25">
        <v>4</v>
      </c>
      <c r="T306" s="25">
        <v>2</v>
      </c>
      <c r="U306" s="25">
        <v>21780</v>
      </c>
      <c r="V306" s="25">
        <v>6</v>
      </c>
      <c r="W306" s="25">
        <v>0</v>
      </c>
      <c r="X306" s="25">
        <v>0</v>
      </c>
      <c r="Y306" s="25">
        <v>4000</v>
      </c>
      <c r="Z306" s="25" t="s">
        <v>231</v>
      </c>
      <c r="AA306" s="25" t="s">
        <v>228</v>
      </c>
      <c r="AB306" s="25" t="s">
        <v>124</v>
      </c>
      <c r="AC306" s="25" t="s">
        <v>109</v>
      </c>
      <c r="AD306" s="25" t="s">
        <v>109</v>
      </c>
      <c r="AE306" s="25" t="s">
        <v>229</v>
      </c>
      <c r="AF306" s="25" t="s">
        <v>230</v>
      </c>
    </row>
    <row r="307" spans="1:32" ht="15.95">
      <c r="A307" s="16"/>
      <c r="B307" s="3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</row>
    <row r="308" spans="1:32" s="51" customFormat="1" ht="15.95">
      <c r="A308" s="71" t="s">
        <v>232</v>
      </c>
      <c r="B308" s="50" t="s">
        <v>113</v>
      </c>
      <c r="E308" s="51">
        <v>87877</v>
      </c>
      <c r="F308" s="51">
        <v>2970</v>
      </c>
      <c r="G308" s="51">
        <v>134748</v>
      </c>
    </row>
    <row r="309" spans="1:32" s="8" customFormat="1">
      <c r="A309" s="6"/>
      <c r="C309" s="7"/>
      <c r="D309" s="7"/>
      <c r="E309" s="7"/>
      <c r="F309" s="7"/>
      <c r="U309" s="7"/>
      <c r="V309" s="7"/>
      <c r="W309" s="7"/>
      <c r="X309" s="7"/>
      <c r="Y309" s="7"/>
      <c r="Z309" s="7"/>
      <c r="AD309" s="7"/>
    </row>
    <row r="312" spans="1:32">
      <c r="A312" s="1" t="s">
        <v>233</v>
      </c>
      <c r="B312" t="s">
        <v>39</v>
      </c>
      <c r="C312" s="3">
        <v>1281055</v>
      </c>
      <c r="D312" s="3">
        <v>3911818</v>
      </c>
      <c r="E312" s="3">
        <v>284735</v>
      </c>
      <c r="F312" s="3">
        <v>146803</v>
      </c>
      <c r="G312" s="3">
        <v>339356</v>
      </c>
      <c r="H312" s="3"/>
      <c r="I312" s="3"/>
      <c r="J312" s="3"/>
      <c r="K312" s="3"/>
      <c r="L312" s="3"/>
      <c r="M312" s="3">
        <v>0</v>
      </c>
      <c r="N312" s="3"/>
      <c r="O312" s="3"/>
      <c r="P312" s="3"/>
      <c r="Q312" s="3"/>
      <c r="R312" s="3" t="s">
        <v>40</v>
      </c>
      <c r="S312">
        <v>6</v>
      </c>
      <c r="T312">
        <v>2</v>
      </c>
      <c r="U312" s="3">
        <v>87120</v>
      </c>
      <c r="V312" s="3"/>
      <c r="W312" s="3">
        <v>0</v>
      </c>
      <c r="X312" s="3">
        <v>0</v>
      </c>
      <c r="Y312" s="3">
        <v>6000</v>
      </c>
      <c r="Z312" s="3" t="s">
        <v>234</v>
      </c>
      <c r="AA312" t="s">
        <v>169</v>
      </c>
      <c r="AB312" s="3" t="s">
        <v>43</v>
      </c>
      <c r="AC312" s="3" t="s">
        <v>44</v>
      </c>
      <c r="AD312" s="3" t="s">
        <v>44</v>
      </c>
      <c r="AE312" t="s">
        <v>235</v>
      </c>
      <c r="AF312" t="s">
        <v>236</v>
      </c>
    </row>
    <row r="313" spans="1:32">
      <c r="A313" s="1" t="s">
        <v>233</v>
      </c>
      <c r="B313" t="s">
        <v>47</v>
      </c>
      <c r="C313" s="3">
        <v>1227819</v>
      </c>
      <c r="D313" s="3">
        <v>3874420</v>
      </c>
      <c r="E313" s="3">
        <v>247337</v>
      </c>
      <c r="F313" s="3">
        <v>109405</v>
      </c>
      <c r="G313" s="3">
        <v>301958</v>
      </c>
      <c r="H313" s="3"/>
      <c r="I313" s="3"/>
      <c r="J313" s="3"/>
      <c r="K313" s="3"/>
      <c r="L313" s="3"/>
      <c r="M313" s="3">
        <v>0</v>
      </c>
      <c r="N313" s="3"/>
      <c r="O313" s="3"/>
      <c r="P313" s="3"/>
      <c r="Q313" s="3"/>
      <c r="R313" s="3" t="s">
        <v>40</v>
      </c>
      <c r="S313">
        <v>6</v>
      </c>
      <c r="T313">
        <v>2</v>
      </c>
      <c r="U313" s="3">
        <v>87120</v>
      </c>
      <c r="V313" s="3"/>
      <c r="W313" s="3">
        <v>0</v>
      </c>
      <c r="X313" s="3">
        <v>0</v>
      </c>
      <c r="Y313" s="3">
        <v>6000</v>
      </c>
      <c r="Z313" s="3" t="s">
        <v>234</v>
      </c>
      <c r="AA313" t="s">
        <v>169</v>
      </c>
      <c r="AB313" s="3" t="s">
        <v>43</v>
      </c>
      <c r="AC313" s="3" t="s">
        <v>44</v>
      </c>
      <c r="AD313" s="3" t="s">
        <v>44</v>
      </c>
      <c r="AE313" t="s">
        <v>235</v>
      </c>
      <c r="AF313" t="s">
        <v>236</v>
      </c>
    </row>
    <row r="314" spans="1:32">
      <c r="A314" s="1" t="s">
        <v>233</v>
      </c>
      <c r="B314" t="s">
        <v>121</v>
      </c>
      <c r="C314" s="3">
        <v>1316891</v>
      </c>
      <c r="D314" s="3">
        <v>580701</v>
      </c>
      <c r="E314" s="3">
        <v>146443</v>
      </c>
      <c r="F314" s="3">
        <v>6102</v>
      </c>
      <c r="G314" s="3">
        <v>127384</v>
      </c>
      <c r="H314" s="3"/>
      <c r="I314" s="3"/>
      <c r="J314" s="3"/>
      <c r="K314" s="3"/>
      <c r="L314" s="3"/>
      <c r="M314" s="3">
        <v>0</v>
      </c>
      <c r="N314" s="3"/>
      <c r="O314" s="3">
        <v>574952</v>
      </c>
      <c r="P314" s="3">
        <v>57595</v>
      </c>
      <c r="Q314" s="3">
        <v>741939</v>
      </c>
      <c r="R314" s="3" t="s">
        <v>40</v>
      </c>
      <c r="S314">
        <v>6</v>
      </c>
      <c r="T314">
        <v>2</v>
      </c>
      <c r="U314" s="3">
        <v>87120</v>
      </c>
      <c r="V314" s="3"/>
      <c r="W314" s="3">
        <v>0</v>
      </c>
      <c r="X314" s="3">
        <v>0</v>
      </c>
      <c r="Y314" s="3">
        <v>6000</v>
      </c>
      <c r="Z314" s="3" t="s">
        <v>234</v>
      </c>
      <c r="AA314" t="s">
        <v>169</v>
      </c>
      <c r="AB314" s="3" t="s">
        <v>43</v>
      </c>
      <c r="AC314" s="3" t="s">
        <v>44</v>
      </c>
      <c r="AD314" s="3" t="s">
        <v>44</v>
      </c>
      <c r="AE314" t="s">
        <v>235</v>
      </c>
      <c r="AF314" t="s">
        <v>236</v>
      </c>
    </row>
    <row r="315" spans="1:32">
      <c r="A315" s="1" t="s">
        <v>233</v>
      </c>
      <c r="B315" s="3" t="s">
        <v>73</v>
      </c>
      <c r="C315" s="3">
        <v>335458</v>
      </c>
      <c r="D315" s="3">
        <v>162830</v>
      </c>
      <c r="E315" s="3">
        <v>174417</v>
      </c>
      <c r="F315" s="3">
        <v>10062</v>
      </c>
      <c r="G315" s="3">
        <v>68741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 t="s">
        <v>40</v>
      </c>
      <c r="S315">
        <v>6</v>
      </c>
      <c r="T315">
        <v>2</v>
      </c>
      <c r="U315" s="3">
        <v>87120</v>
      </c>
      <c r="V315" s="3"/>
      <c r="W315" s="3">
        <v>0</v>
      </c>
      <c r="X315" s="3">
        <v>0</v>
      </c>
      <c r="Y315" s="3">
        <v>6000</v>
      </c>
      <c r="Z315" s="3" t="s">
        <v>234</v>
      </c>
      <c r="AA315" t="s">
        <v>169</v>
      </c>
      <c r="AB315" s="3" t="s">
        <v>43</v>
      </c>
      <c r="AC315" s="3" t="s">
        <v>44</v>
      </c>
      <c r="AD315" s="3" t="s">
        <v>44</v>
      </c>
      <c r="AE315" t="s">
        <v>235</v>
      </c>
      <c r="AF315" t="s">
        <v>236</v>
      </c>
    </row>
    <row r="316" spans="1:32">
      <c r="A316" s="1" t="s">
        <v>233</v>
      </c>
      <c r="B316" s="34" t="s">
        <v>75</v>
      </c>
      <c r="C316" s="34">
        <v>589360</v>
      </c>
      <c r="D316" s="34">
        <v>419272</v>
      </c>
      <c r="E316" s="34">
        <v>135052</v>
      </c>
      <c r="F316" s="34">
        <v>6643</v>
      </c>
      <c r="G316" s="34">
        <v>123356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 t="s">
        <v>40</v>
      </c>
      <c r="S316">
        <v>6</v>
      </c>
      <c r="T316">
        <v>2</v>
      </c>
      <c r="U316" s="3">
        <v>87120</v>
      </c>
      <c r="V316" s="3"/>
      <c r="W316" s="3">
        <v>0</v>
      </c>
      <c r="X316" s="3">
        <v>0</v>
      </c>
      <c r="Y316" s="3">
        <v>6000</v>
      </c>
      <c r="Z316" s="3" t="s">
        <v>234</v>
      </c>
      <c r="AA316" t="s">
        <v>169</v>
      </c>
      <c r="AB316" s="3" t="s">
        <v>43</v>
      </c>
      <c r="AC316" s="3" t="s">
        <v>44</v>
      </c>
      <c r="AD316" s="3" t="s">
        <v>44</v>
      </c>
      <c r="AE316" t="s">
        <v>235</v>
      </c>
      <c r="AF316" t="s">
        <v>236</v>
      </c>
    </row>
    <row r="317" spans="1:32">
      <c r="A317" s="1" t="s">
        <v>233</v>
      </c>
      <c r="B317" s="42" t="s">
        <v>78</v>
      </c>
      <c r="C317" s="38">
        <v>3866935</v>
      </c>
      <c r="D317" s="38">
        <v>425710</v>
      </c>
      <c r="E317" s="38">
        <v>136483</v>
      </c>
      <c r="F317" s="38">
        <v>7714</v>
      </c>
      <c r="G317" s="38">
        <v>123844</v>
      </c>
      <c r="H317" s="38">
        <v>0</v>
      </c>
      <c r="I317" s="38"/>
      <c r="J317" s="38">
        <v>0</v>
      </c>
      <c r="K317" s="38"/>
      <c r="L317" s="38"/>
      <c r="M317" s="38">
        <v>522720</v>
      </c>
      <c r="N317" s="38"/>
      <c r="O317" s="38">
        <v>421495</v>
      </c>
      <c r="P317" s="38">
        <v>42149</v>
      </c>
      <c r="Q317" s="38">
        <v>548583</v>
      </c>
      <c r="R317" s="38" t="s">
        <v>40</v>
      </c>
      <c r="S317">
        <v>6</v>
      </c>
      <c r="T317">
        <v>2</v>
      </c>
      <c r="U317" s="3">
        <v>87120</v>
      </c>
      <c r="V317" s="3"/>
      <c r="W317" s="3">
        <v>0</v>
      </c>
      <c r="X317" s="3">
        <v>0</v>
      </c>
      <c r="Y317" s="3">
        <v>6000</v>
      </c>
      <c r="Z317" s="3" t="s">
        <v>237</v>
      </c>
      <c r="AA317" t="s">
        <v>169</v>
      </c>
      <c r="AB317" s="3" t="s">
        <v>43</v>
      </c>
      <c r="AC317" s="3" t="s">
        <v>44</v>
      </c>
      <c r="AD317" s="3" t="s">
        <v>44</v>
      </c>
      <c r="AE317" t="s">
        <v>235</v>
      </c>
      <c r="AF317" t="s">
        <v>236</v>
      </c>
    </row>
    <row r="318" spans="1:32">
      <c r="A318" s="1" t="s">
        <v>233</v>
      </c>
      <c r="B318" t="s">
        <v>82</v>
      </c>
      <c r="C318" s="3">
        <v>4017468</v>
      </c>
      <c r="D318" s="3">
        <v>577748</v>
      </c>
      <c r="E318" s="3">
        <v>129659</v>
      </c>
      <c r="F318" s="3">
        <v>7328</v>
      </c>
      <c r="G318" s="3">
        <v>168074</v>
      </c>
      <c r="H318" s="38">
        <v>0</v>
      </c>
      <c r="I318" s="38"/>
      <c r="J318" s="38">
        <v>0</v>
      </c>
      <c r="K318" s="38"/>
      <c r="L318" s="38"/>
      <c r="M318" s="38">
        <v>522720</v>
      </c>
      <c r="N318" s="38"/>
      <c r="O318" s="38">
        <v>572028</v>
      </c>
      <c r="P318" s="38">
        <v>57203</v>
      </c>
      <c r="Q318" s="38">
        <v>738255</v>
      </c>
      <c r="R318" s="38" t="s">
        <v>40</v>
      </c>
      <c r="S318">
        <v>6</v>
      </c>
      <c r="T318">
        <v>2</v>
      </c>
      <c r="U318" s="3">
        <v>87120</v>
      </c>
      <c r="V318" s="3">
        <v>6</v>
      </c>
      <c r="W318" s="3">
        <v>0</v>
      </c>
      <c r="X318" s="3">
        <v>0</v>
      </c>
      <c r="Y318" s="3">
        <v>6000</v>
      </c>
      <c r="Z318" s="3" t="s">
        <v>237</v>
      </c>
      <c r="AA318" t="s">
        <v>169</v>
      </c>
      <c r="AB318" s="3" t="s">
        <v>43</v>
      </c>
      <c r="AC318" s="3" t="s">
        <v>44</v>
      </c>
      <c r="AD318" s="3" t="s">
        <v>44</v>
      </c>
      <c r="AE318" t="s">
        <v>235</v>
      </c>
      <c r="AF318" t="s">
        <v>236</v>
      </c>
    </row>
    <row r="319" spans="1:32">
      <c r="A319" s="1" t="s">
        <v>233</v>
      </c>
      <c r="B319" t="s">
        <v>83</v>
      </c>
      <c r="C319" s="3">
        <v>3100222</v>
      </c>
      <c r="D319" s="3">
        <v>531241</v>
      </c>
      <c r="E319" s="3">
        <v>129659</v>
      </c>
      <c r="F319" s="3">
        <v>7328</v>
      </c>
      <c r="G319" s="3">
        <v>122028</v>
      </c>
      <c r="R319" s="3" t="s">
        <v>40</v>
      </c>
      <c r="S319">
        <v>6</v>
      </c>
      <c r="T319">
        <v>2</v>
      </c>
      <c r="U319" s="3">
        <v>87120</v>
      </c>
      <c r="V319" s="3"/>
      <c r="W319" s="3">
        <v>0</v>
      </c>
      <c r="X319" s="3">
        <v>0</v>
      </c>
      <c r="Y319" s="3">
        <v>6000</v>
      </c>
      <c r="Z319" s="3" t="s">
        <v>237</v>
      </c>
      <c r="AA319" t="s">
        <v>169</v>
      </c>
      <c r="AB319" s="3" t="s">
        <v>43</v>
      </c>
      <c r="AC319" s="3" t="s">
        <v>44</v>
      </c>
      <c r="AD319" s="3" t="s">
        <v>44</v>
      </c>
      <c r="AE319" t="s">
        <v>235</v>
      </c>
      <c r="AF319" t="s">
        <v>236</v>
      </c>
    </row>
    <row r="320" spans="1:32">
      <c r="A320" s="1" t="s">
        <v>233</v>
      </c>
      <c r="B320" t="s">
        <v>84</v>
      </c>
      <c r="C320" s="3"/>
      <c r="D320" s="3"/>
      <c r="E320" s="3"/>
      <c r="F320" s="3"/>
      <c r="G320" s="3"/>
      <c r="R320" s="3" t="s">
        <v>40</v>
      </c>
      <c r="S320">
        <v>6</v>
      </c>
      <c r="T320">
        <v>2</v>
      </c>
      <c r="U320" s="3">
        <v>87120</v>
      </c>
      <c r="V320" s="3">
        <v>6</v>
      </c>
      <c r="W320" s="3">
        <v>0</v>
      </c>
      <c r="X320" s="3">
        <v>0</v>
      </c>
      <c r="Y320" s="3">
        <v>6000</v>
      </c>
      <c r="Z320" s="3" t="s">
        <v>237</v>
      </c>
      <c r="AA320" t="s">
        <v>169</v>
      </c>
      <c r="AB320" s="3" t="s">
        <v>43</v>
      </c>
      <c r="AC320" s="3" t="s">
        <v>44</v>
      </c>
      <c r="AD320" s="3" t="s">
        <v>44</v>
      </c>
      <c r="AE320" t="s">
        <v>235</v>
      </c>
      <c r="AF320" t="s">
        <v>236</v>
      </c>
    </row>
    <row r="321" spans="1:32">
      <c r="A321" s="1" t="s">
        <v>233</v>
      </c>
      <c r="B321" s="43" t="s">
        <v>85</v>
      </c>
      <c r="C321" s="44"/>
      <c r="D321" s="44"/>
      <c r="E321" s="44"/>
      <c r="F321" s="44"/>
      <c r="G321" s="44"/>
      <c r="R321" s="3" t="s">
        <v>40</v>
      </c>
      <c r="S321">
        <v>6</v>
      </c>
      <c r="T321">
        <v>2</v>
      </c>
      <c r="U321" s="3">
        <v>87120</v>
      </c>
      <c r="V321" s="3"/>
      <c r="W321" s="3">
        <v>0</v>
      </c>
      <c r="X321" s="3">
        <v>0</v>
      </c>
      <c r="Y321" s="3">
        <v>6000</v>
      </c>
      <c r="Z321" s="3" t="s">
        <v>237</v>
      </c>
      <c r="AA321" t="s">
        <v>169</v>
      </c>
      <c r="AB321" s="3" t="s">
        <v>43</v>
      </c>
      <c r="AC321" s="3" t="s">
        <v>44</v>
      </c>
      <c r="AD321" s="3" t="s">
        <v>44</v>
      </c>
      <c r="AE321" t="s">
        <v>235</v>
      </c>
      <c r="AF321" t="s">
        <v>236</v>
      </c>
    </row>
    <row r="322" spans="1:32">
      <c r="A322" s="1" t="s">
        <v>233</v>
      </c>
      <c r="B322" s="45" t="s">
        <v>86</v>
      </c>
      <c r="C322" s="46"/>
      <c r="D322" s="46"/>
      <c r="E322" s="46"/>
      <c r="F322" s="46"/>
      <c r="G322" s="46"/>
      <c r="R322" s="3" t="s">
        <v>40</v>
      </c>
      <c r="S322">
        <v>6</v>
      </c>
      <c r="T322">
        <v>2</v>
      </c>
      <c r="U322" s="3">
        <v>87120</v>
      </c>
      <c r="V322" s="3">
        <v>6</v>
      </c>
      <c r="W322" s="3">
        <v>0</v>
      </c>
      <c r="X322" s="3">
        <v>0</v>
      </c>
      <c r="Y322" s="3">
        <v>6000</v>
      </c>
      <c r="Z322" s="3" t="s">
        <v>237</v>
      </c>
      <c r="AA322" t="s">
        <v>169</v>
      </c>
      <c r="AB322" s="3" t="s">
        <v>43</v>
      </c>
      <c r="AC322" s="3" t="s">
        <v>44</v>
      </c>
      <c r="AD322" s="3" t="s">
        <v>44</v>
      </c>
      <c r="AE322" t="s">
        <v>235</v>
      </c>
      <c r="AF322" t="s">
        <v>236</v>
      </c>
    </row>
    <row r="323" spans="1:32">
      <c r="A323" s="1" t="s">
        <v>233</v>
      </c>
      <c r="B323" s="36" t="s">
        <v>97</v>
      </c>
      <c r="C323" s="3">
        <v>5619455</v>
      </c>
      <c r="D323" s="3">
        <v>700955</v>
      </c>
      <c r="E323" s="3">
        <v>145583</v>
      </c>
      <c r="F323" s="3">
        <v>14902</v>
      </c>
      <c r="G323" s="3">
        <v>123821</v>
      </c>
      <c r="H323" s="3">
        <v>0</v>
      </c>
      <c r="I323" s="3"/>
      <c r="J323" s="3">
        <v>0</v>
      </c>
      <c r="K323" s="3"/>
      <c r="L323" s="3"/>
      <c r="M323" s="3">
        <v>522720</v>
      </c>
      <c r="N323" s="3">
        <v>3880000</v>
      </c>
      <c r="O323" s="3">
        <v>694014</v>
      </c>
      <c r="P323" s="3">
        <v>503733</v>
      </c>
      <c r="Q323" s="3">
        <v>190281</v>
      </c>
      <c r="R323" s="3" t="s">
        <v>40</v>
      </c>
      <c r="S323">
        <v>6</v>
      </c>
      <c r="T323">
        <v>2</v>
      </c>
      <c r="U323" s="3">
        <v>87120</v>
      </c>
      <c r="V323" s="3"/>
      <c r="W323" s="3">
        <v>0</v>
      </c>
      <c r="X323" s="3">
        <v>0</v>
      </c>
      <c r="Y323" s="3">
        <v>6000</v>
      </c>
      <c r="Z323" s="3" t="s">
        <v>237</v>
      </c>
      <c r="AA323" t="s">
        <v>169</v>
      </c>
      <c r="AB323" s="3" t="s">
        <v>43</v>
      </c>
      <c r="AC323" s="3" t="s">
        <v>44</v>
      </c>
      <c r="AD323" s="3" t="s">
        <v>44</v>
      </c>
      <c r="AE323" t="s">
        <v>235</v>
      </c>
      <c r="AF323" t="s">
        <v>236</v>
      </c>
    </row>
    <row r="324" spans="1:32">
      <c r="U324" s="3"/>
      <c r="V324" s="3"/>
      <c r="W324" s="3"/>
      <c r="X324" s="3"/>
      <c r="Y324" s="3"/>
      <c r="Z324" s="3"/>
      <c r="AB324" s="3"/>
      <c r="AC324" s="3"/>
      <c r="AD324" s="3"/>
    </row>
    <row r="325" spans="1:32" s="51" customFormat="1">
      <c r="A325" s="50" t="s">
        <v>238</v>
      </c>
      <c r="B325" s="50" t="s">
        <v>113</v>
      </c>
      <c r="E325" s="34">
        <v>68468</v>
      </c>
      <c r="F325" s="51">
        <v>8262</v>
      </c>
      <c r="G325" s="51">
        <v>148344</v>
      </c>
      <c r="H325" s="34">
        <v>23161</v>
      </c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U325" s="34"/>
      <c r="V325" s="34"/>
      <c r="W325" s="34"/>
      <c r="X325" s="34"/>
      <c r="Y325" s="34"/>
      <c r="Z325" s="34"/>
      <c r="AB325" s="34"/>
      <c r="AC325" s="34"/>
      <c r="AD325" s="34"/>
    </row>
    <row r="326" spans="1:32" s="8" customFormat="1">
      <c r="A326" s="6"/>
      <c r="C326" s="7"/>
      <c r="D326" s="7"/>
      <c r="E326" s="7"/>
      <c r="F326" s="7"/>
      <c r="U326" s="7"/>
      <c r="V326" s="7"/>
      <c r="W326" s="7"/>
      <c r="X326" s="7"/>
      <c r="Y326" s="7"/>
      <c r="Z326" s="7"/>
      <c r="AD326" s="7"/>
    </row>
    <row r="328" spans="1:32">
      <c r="A328" t="s">
        <v>239</v>
      </c>
      <c r="B328" t="s">
        <v>240</v>
      </c>
      <c r="C328" s="38">
        <v>3821440</v>
      </c>
      <c r="D328" s="3">
        <v>520925</v>
      </c>
      <c r="E328">
        <v>109225</v>
      </c>
      <c r="F328">
        <v>7558</v>
      </c>
      <c r="G328">
        <v>70424</v>
      </c>
      <c r="H328">
        <v>23272</v>
      </c>
      <c r="R328" t="s">
        <v>40</v>
      </c>
      <c r="S328">
        <v>5</v>
      </c>
      <c r="T328">
        <v>2</v>
      </c>
      <c r="U328">
        <v>58806</v>
      </c>
      <c r="V328">
        <v>6</v>
      </c>
      <c r="W328">
        <v>300</v>
      </c>
      <c r="X328" t="s">
        <v>241</v>
      </c>
      <c r="Y328">
        <v>3500</v>
      </c>
      <c r="Z328" t="s">
        <v>242</v>
      </c>
      <c r="AA328" t="s">
        <v>169</v>
      </c>
      <c r="AB328" t="s">
        <v>43</v>
      </c>
      <c r="AC328" t="s">
        <v>44</v>
      </c>
      <c r="AD328" t="s">
        <v>44</v>
      </c>
      <c r="AE328" t="s">
        <v>243</v>
      </c>
    </row>
    <row r="329" spans="1:32">
      <c r="A329" t="s">
        <v>239</v>
      </c>
      <c r="B329" t="s">
        <v>84</v>
      </c>
      <c r="C329" s="3"/>
      <c r="D329" s="3"/>
      <c r="E329" s="3"/>
      <c r="F329" s="3"/>
      <c r="G329" s="3"/>
      <c r="R329" t="s">
        <v>40</v>
      </c>
      <c r="S329">
        <v>5</v>
      </c>
      <c r="T329">
        <v>2</v>
      </c>
      <c r="U329">
        <v>58806</v>
      </c>
      <c r="V329">
        <v>13.6</v>
      </c>
      <c r="W329">
        <v>300</v>
      </c>
      <c r="X329" t="s">
        <v>241</v>
      </c>
      <c r="Y329">
        <v>3500</v>
      </c>
      <c r="Z329" t="s">
        <v>242</v>
      </c>
      <c r="AA329" t="s">
        <v>169</v>
      </c>
      <c r="AB329" t="s">
        <v>43</v>
      </c>
      <c r="AC329" t="s">
        <v>44</v>
      </c>
      <c r="AD329" t="s">
        <v>44</v>
      </c>
      <c r="AE329" t="s">
        <v>243</v>
      </c>
    </row>
    <row r="330" spans="1:32">
      <c r="A330" t="s">
        <v>239</v>
      </c>
      <c r="B330" s="43" t="s">
        <v>85</v>
      </c>
      <c r="C330" s="44"/>
      <c r="D330" s="44"/>
      <c r="E330" s="44"/>
      <c r="F330" s="44"/>
      <c r="G330" s="44"/>
      <c r="R330" t="s">
        <v>40</v>
      </c>
      <c r="S330" s="25">
        <v>5</v>
      </c>
      <c r="T330" s="25">
        <v>2</v>
      </c>
      <c r="U330" s="25">
        <v>58806</v>
      </c>
      <c r="V330" s="25">
        <v>13.6</v>
      </c>
      <c r="W330" s="25">
        <v>300</v>
      </c>
      <c r="X330" s="25" t="s">
        <v>241</v>
      </c>
      <c r="Y330" s="25">
        <v>3500</v>
      </c>
      <c r="Z330" s="25" t="s">
        <v>242</v>
      </c>
      <c r="AA330" s="25" t="s">
        <v>169</v>
      </c>
      <c r="AB330" s="25" t="s">
        <v>43</v>
      </c>
      <c r="AC330" s="25" t="s">
        <v>44</v>
      </c>
      <c r="AD330" s="25" t="s">
        <v>44</v>
      </c>
      <c r="AE330" s="25" t="s">
        <v>243</v>
      </c>
    </row>
    <row r="331" spans="1:32">
      <c r="A331" t="s">
        <v>239</v>
      </c>
      <c r="B331" s="45" t="s">
        <v>86</v>
      </c>
      <c r="C331" s="46"/>
      <c r="D331" s="46"/>
      <c r="E331" s="46"/>
      <c r="F331" s="46"/>
      <c r="G331" s="46"/>
      <c r="R331" t="s">
        <v>40</v>
      </c>
      <c r="S331" s="25">
        <v>5</v>
      </c>
      <c r="T331" s="25">
        <v>2</v>
      </c>
      <c r="U331" s="25">
        <v>58806</v>
      </c>
      <c r="V331" s="25">
        <v>13.6</v>
      </c>
      <c r="W331" s="25">
        <v>300</v>
      </c>
      <c r="X331" s="25" t="s">
        <v>241</v>
      </c>
      <c r="Y331" s="25">
        <v>3500</v>
      </c>
      <c r="Z331" s="25" t="s">
        <v>242</v>
      </c>
      <c r="AA331" s="25" t="s">
        <v>169</v>
      </c>
      <c r="AB331" s="25" t="s">
        <v>43</v>
      </c>
      <c r="AC331" s="25" t="s">
        <v>44</v>
      </c>
      <c r="AD331" s="25" t="s">
        <v>44</v>
      </c>
      <c r="AE331" s="25" t="s">
        <v>243</v>
      </c>
    </row>
    <row r="332" spans="1:32">
      <c r="A332" t="s">
        <v>239</v>
      </c>
      <c r="B332" s="36" t="s">
        <v>97</v>
      </c>
      <c r="C332" s="3">
        <v>5008098</v>
      </c>
      <c r="D332" s="3">
        <v>442960</v>
      </c>
      <c r="E332" s="3">
        <v>82626</v>
      </c>
      <c r="F332" s="3">
        <v>8543</v>
      </c>
      <c r="G332" s="3">
        <v>67823</v>
      </c>
      <c r="H332" s="3">
        <v>7876</v>
      </c>
      <c r="I332" s="3"/>
      <c r="J332" s="3">
        <v>0</v>
      </c>
      <c r="K332" s="3"/>
      <c r="L332" s="3"/>
      <c r="M332" s="3">
        <v>799761</v>
      </c>
      <c r="N332" s="3">
        <v>2970000</v>
      </c>
      <c r="O332" s="3">
        <v>438574</v>
      </c>
      <c r="P332" s="3">
        <v>300438</v>
      </c>
      <c r="Q332" s="3">
        <v>128136</v>
      </c>
      <c r="R332" t="s">
        <v>40</v>
      </c>
      <c r="S332" s="25">
        <v>5</v>
      </c>
      <c r="T332" s="25">
        <v>2</v>
      </c>
      <c r="U332" s="25">
        <v>58806</v>
      </c>
      <c r="V332" s="25">
        <v>13.6</v>
      </c>
      <c r="W332" s="25">
        <v>300</v>
      </c>
      <c r="X332" s="25" t="s">
        <v>241</v>
      </c>
      <c r="Y332" s="25">
        <v>3500</v>
      </c>
      <c r="Z332" s="25" t="s">
        <v>242</v>
      </c>
      <c r="AA332" s="25" t="s">
        <v>169</v>
      </c>
      <c r="AB332" s="25" t="s">
        <v>43</v>
      </c>
      <c r="AC332" s="25" t="s">
        <v>44</v>
      </c>
      <c r="AD332" s="25" t="s">
        <v>44</v>
      </c>
      <c r="AE332" s="25" t="s">
        <v>243</v>
      </c>
    </row>
    <row r="333" spans="1:32"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1:32" s="51" customFormat="1">
      <c r="A334" s="50" t="s">
        <v>244</v>
      </c>
      <c r="B334" s="50" t="s">
        <v>113</v>
      </c>
    </row>
    <row r="335" spans="1:32" s="8" customFormat="1">
      <c r="A335" s="6"/>
      <c r="C335" s="7"/>
      <c r="D335" s="7"/>
      <c r="E335" s="7"/>
      <c r="F335" s="7"/>
      <c r="U335" s="7"/>
      <c r="V335" s="7"/>
      <c r="W335" s="7"/>
      <c r="X335" s="7"/>
      <c r="Y335" s="7"/>
      <c r="Z335" s="7"/>
      <c r="AD335" s="7"/>
    </row>
    <row r="337" spans="1:31">
      <c r="A337" t="s">
        <v>245</v>
      </c>
      <c r="B337" s="45" t="s">
        <v>86</v>
      </c>
      <c r="C337" s="3">
        <v>5224358</v>
      </c>
      <c r="D337" s="3">
        <v>2173881</v>
      </c>
      <c r="E337" s="3">
        <v>178658</v>
      </c>
      <c r="F337" s="3">
        <v>6871</v>
      </c>
      <c r="G337" s="3">
        <v>171433</v>
      </c>
      <c r="H337" s="3">
        <v>82451</v>
      </c>
      <c r="I337" s="3"/>
      <c r="J337" s="3">
        <v>0</v>
      </c>
      <c r="K337" s="3"/>
      <c r="L337" s="3"/>
      <c r="M337" s="3">
        <v>336000</v>
      </c>
      <c r="N337" s="3"/>
      <c r="O337" s="3">
        <v>2941706</v>
      </c>
      <c r="P337" s="3">
        <v>74235</v>
      </c>
      <c r="Q337" s="3">
        <v>2867470</v>
      </c>
      <c r="R337" s="3" t="s">
        <v>40</v>
      </c>
      <c r="S337">
        <v>6</v>
      </c>
      <c r="T337">
        <v>12</v>
      </c>
      <c r="U337">
        <v>56000</v>
      </c>
      <c r="V337">
        <v>6</v>
      </c>
      <c r="W337" t="s">
        <v>246</v>
      </c>
      <c r="X337" t="s">
        <v>247</v>
      </c>
      <c r="Y337">
        <v>6000</v>
      </c>
      <c r="Z337" t="s">
        <v>248</v>
      </c>
      <c r="AA337" t="s">
        <v>192</v>
      </c>
      <c r="AB337" t="s">
        <v>249</v>
      </c>
      <c r="AC337" t="s">
        <v>55</v>
      </c>
      <c r="AD337" t="s">
        <v>44</v>
      </c>
      <c r="AE337" t="s">
        <v>250</v>
      </c>
    </row>
    <row r="338" spans="1:31">
      <c r="A338" t="s">
        <v>245</v>
      </c>
      <c r="B338" s="45" t="s">
        <v>86</v>
      </c>
      <c r="C338" s="3">
        <v>4795545</v>
      </c>
      <c r="D338" s="3">
        <v>2201340</v>
      </c>
      <c r="E338" s="3">
        <v>178658</v>
      </c>
      <c r="F338" s="3">
        <v>6871</v>
      </c>
      <c r="G338" s="3">
        <v>171433</v>
      </c>
      <c r="H338" s="3">
        <v>54375</v>
      </c>
      <c r="I338" s="3"/>
      <c r="J338" s="3">
        <v>0</v>
      </c>
      <c r="K338" s="3"/>
      <c r="L338" s="3"/>
      <c r="M338" s="3"/>
      <c r="N338" s="3"/>
      <c r="O338" s="3"/>
      <c r="P338" s="3"/>
      <c r="Q338" s="3"/>
      <c r="R338" s="3" t="s">
        <v>40</v>
      </c>
      <c r="S338">
        <v>6</v>
      </c>
      <c r="T338">
        <v>12</v>
      </c>
      <c r="U338">
        <v>18000</v>
      </c>
      <c r="V338">
        <v>6</v>
      </c>
      <c r="W338" t="s">
        <v>246</v>
      </c>
      <c r="X338" t="s">
        <v>247</v>
      </c>
      <c r="Y338">
        <v>6000</v>
      </c>
      <c r="Z338" t="s">
        <v>248</v>
      </c>
      <c r="AA338" t="s">
        <v>192</v>
      </c>
      <c r="AB338" t="s">
        <v>249</v>
      </c>
      <c r="AC338" t="s">
        <v>55</v>
      </c>
      <c r="AD338" t="s">
        <v>44</v>
      </c>
      <c r="AE338" t="s">
        <v>250</v>
      </c>
    </row>
    <row r="339" spans="1:31">
      <c r="A339" t="s">
        <v>245</v>
      </c>
      <c r="B339" s="45" t="s">
        <v>86</v>
      </c>
      <c r="C339" s="3">
        <v>5103145</v>
      </c>
      <c r="D339" s="3">
        <v>2201340</v>
      </c>
      <c r="E339" s="3">
        <v>178658</v>
      </c>
      <c r="F339" s="3">
        <v>6871</v>
      </c>
      <c r="G339" s="3">
        <v>171433</v>
      </c>
      <c r="H339" s="3">
        <v>54375</v>
      </c>
      <c r="I339" s="3"/>
      <c r="J339" s="3">
        <v>0</v>
      </c>
      <c r="K339" s="3"/>
      <c r="L339" s="3"/>
      <c r="M339" s="3">
        <v>261800</v>
      </c>
      <c r="N339" s="3"/>
      <c r="O339" s="3">
        <v>2978681</v>
      </c>
      <c r="P339" s="3">
        <v>76954</v>
      </c>
      <c r="Q339" s="3">
        <v>2901726</v>
      </c>
      <c r="R339" s="3" t="s">
        <v>40</v>
      </c>
      <c r="S339">
        <v>6</v>
      </c>
      <c r="T339">
        <v>12</v>
      </c>
      <c r="U339">
        <v>15400</v>
      </c>
      <c r="V339">
        <v>6</v>
      </c>
      <c r="W339" t="s">
        <v>246</v>
      </c>
      <c r="X339" t="s">
        <v>247</v>
      </c>
      <c r="Y339">
        <v>6000</v>
      </c>
      <c r="Z339" t="s">
        <v>248</v>
      </c>
      <c r="AA339" t="s">
        <v>192</v>
      </c>
      <c r="AB339" t="s">
        <v>249</v>
      </c>
      <c r="AC339" t="s">
        <v>55</v>
      </c>
      <c r="AD339" t="s">
        <v>44</v>
      </c>
      <c r="AE339" t="s">
        <v>250</v>
      </c>
    </row>
    <row r="340" spans="1:31">
      <c r="A340" t="s">
        <v>245</v>
      </c>
      <c r="B340" s="36" t="s">
        <v>97</v>
      </c>
      <c r="C340" s="3">
        <v>4914717</v>
      </c>
      <c r="D340" s="3">
        <v>737216</v>
      </c>
      <c r="E340" s="3">
        <v>160231</v>
      </c>
      <c r="F340" s="3">
        <v>6170</v>
      </c>
      <c r="G340" s="3">
        <v>140235</v>
      </c>
      <c r="H340" s="3">
        <v>11996</v>
      </c>
      <c r="I340" s="3"/>
      <c r="J340" s="3">
        <v>0</v>
      </c>
      <c r="K340" s="3"/>
      <c r="L340" s="3"/>
      <c r="M340" s="3">
        <v>92400</v>
      </c>
      <c r="N340" s="3">
        <v>4000000</v>
      </c>
      <c r="O340" s="3">
        <v>729916</v>
      </c>
      <c r="P340" s="3">
        <v>514425</v>
      </c>
      <c r="Q340" s="3">
        <v>215491</v>
      </c>
      <c r="R340" s="3" t="s">
        <v>40</v>
      </c>
      <c r="S340">
        <v>6</v>
      </c>
      <c r="T340">
        <v>12</v>
      </c>
      <c r="U340">
        <v>15400</v>
      </c>
      <c r="V340">
        <v>6</v>
      </c>
      <c r="W340" t="s">
        <v>246</v>
      </c>
      <c r="X340" t="s">
        <v>247</v>
      </c>
      <c r="Y340">
        <v>6000</v>
      </c>
      <c r="Z340" t="s">
        <v>248</v>
      </c>
      <c r="AA340" t="s">
        <v>192</v>
      </c>
      <c r="AB340" t="s">
        <v>249</v>
      </c>
      <c r="AC340" t="s">
        <v>55</v>
      </c>
      <c r="AD340" t="s">
        <v>44</v>
      </c>
      <c r="AE340" t="s">
        <v>250</v>
      </c>
    </row>
    <row r="343" spans="1:31" s="51" customFormat="1">
      <c r="A343" s="50" t="s">
        <v>251</v>
      </c>
      <c r="B343" s="50" t="s">
        <v>113</v>
      </c>
    </row>
    <row r="344" spans="1:31" s="8" customFormat="1">
      <c r="A344" s="6"/>
      <c r="C344" s="7"/>
      <c r="D344" s="7"/>
      <c r="E344" s="7"/>
      <c r="F344" s="7"/>
      <c r="U344" s="7"/>
      <c r="V344" s="7"/>
      <c r="W344" s="7"/>
      <c r="X344" s="7"/>
      <c r="Y344" s="7"/>
      <c r="Z344" s="7"/>
      <c r="AD344" s="7"/>
    </row>
    <row r="346" spans="1:31" ht="32.1">
      <c r="A346" t="s">
        <v>252</v>
      </c>
      <c r="B346" s="45" t="s">
        <v>86</v>
      </c>
      <c r="C346" s="3">
        <v>7932059</v>
      </c>
      <c r="D346" s="3">
        <v>711099</v>
      </c>
      <c r="E346" s="3">
        <v>167296</v>
      </c>
      <c r="F346" s="3">
        <v>12677</v>
      </c>
      <c r="G346" s="3">
        <v>96792</v>
      </c>
      <c r="H346" s="3">
        <v>0</v>
      </c>
      <c r="I346" s="3"/>
      <c r="J346" s="3">
        <v>0</v>
      </c>
      <c r="K346" s="3"/>
      <c r="L346" s="3"/>
      <c r="M346" s="3">
        <v>2613600</v>
      </c>
      <c r="N346" s="3"/>
      <c r="O346" s="3">
        <v>831208</v>
      </c>
      <c r="P346" s="3">
        <v>63085</v>
      </c>
      <c r="Q346" s="3">
        <v>768122</v>
      </c>
      <c r="R346" s="3" t="s">
        <v>40</v>
      </c>
      <c r="S346">
        <v>10</v>
      </c>
      <c r="T346">
        <v>8</v>
      </c>
      <c r="U346" s="3">
        <v>65340</v>
      </c>
      <c r="V346">
        <v>40</v>
      </c>
      <c r="W346">
        <v>0</v>
      </c>
      <c r="X346" t="s">
        <v>253</v>
      </c>
      <c r="Y346">
        <v>5002</v>
      </c>
      <c r="Z346" t="s">
        <v>254</v>
      </c>
      <c r="AA346" t="s">
        <v>192</v>
      </c>
      <c r="AB346" t="s">
        <v>255</v>
      </c>
      <c r="AC346" t="s">
        <v>109</v>
      </c>
      <c r="AD346" t="s">
        <v>55</v>
      </c>
      <c r="AE346" s="2" t="s">
        <v>256</v>
      </c>
    </row>
    <row r="347" spans="1:31" ht="32.1">
      <c r="A347" t="s">
        <v>257</v>
      </c>
      <c r="B347" s="45" t="s">
        <v>86</v>
      </c>
      <c r="C347" s="3">
        <v>7952948</v>
      </c>
      <c r="D347">
        <v>732197</v>
      </c>
      <c r="E347" s="3">
        <v>167296</v>
      </c>
      <c r="F347" s="3">
        <v>12677</v>
      </c>
      <c r="G347" s="3">
        <v>96792</v>
      </c>
      <c r="H347" s="3">
        <v>11572</v>
      </c>
      <c r="I347" s="3"/>
      <c r="J347" s="3">
        <v>9317</v>
      </c>
      <c r="K347" s="3"/>
      <c r="L347" s="3"/>
      <c r="M347" s="3">
        <v>2613600</v>
      </c>
      <c r="N347" s="3"/>
      <c r="O347" s="3">
        <v>1008428</v>
      </c>
      <c r="P347" s="3">
        <v>65174</v>
      </c>
      <c r="Q347" s="3"/>
      <c r="R347" s="3" t="s">
        <v>40</v>
      </c>
      <c r="S347" s="3">
        <v>10</v>
      </c>
      <c r="T347" s="3">
        <v>8</v>
      </c>
      <c r="U347" s="3">
        <v>65340</v>
      </c>
      <c r="V347">
        <v>40</v>
      </c>
      <c r="W347" s="3">
        <v>0</v>
      </c>
      <c r="X347" t="s">
        <v>253</v>
      </c>
      <c r="Y347">
        <v>5002</v>
      </c>
      <c r="Z347" t="s">
        <v>258</v>
      </c>
      <c r="AA347" t="s">
        <v>192</v>
      </c>
      <c r="AB347" t="s">
        <v>255</v>
      </c>
      <c r="AC347" t="s">
        <v>109</v>
      </c>
      <c r="AD347" t="s">
        <v>109</v>
      </c>
      <c r="AE347" s="2" t="s">
        <v>256</v>
      </c>
    </row>
    <row r="348" spans="1:31" ht="32.1">
      <c r="A348" t="s">
        <v>259</v>
      </c>
      <c r="B348" s="45" t="s">
        <v>86</v>
      </c>
      <c r="C348" s="3">
        <v>7954171</v>
      </c>
      <c r="D348" s="3">
        <v>733432</v>
      </c>
      <c r="E348" s="3">
        <v>167296</v>
      </c>
      <c r="F348" s="3">
        <v>12677</v>
      </c>
      <c r="G348" s="3">
        <v>96792</v>
      </c>
      <c r="H348" s="3">
        <v>12795</v>
      </c>
      <c r="I348" s="3"/>
      <c r="J348" s="3">
        <v>9317</v>
      </c>
      <c r="K348" s="3"/>
      <c r="L348" s="3"/>
      <c r="M348" s="3">
        <v>2613600</v>
      </c>
      <c r="N348" s="3"/>
      <c r="O348" s="3">
        <v>886857</v>
      </c>
      <c r="P348" s="3">
        <v>65297</v>
      </c>
      <c r="Q348" s="3"/>
      <c r="R348" s="3" t="s">
        <v>40</v>
      </c>
      <c r="S348" s="3">
        <v>10</v>
      </c>
      <c r="T348" s="3">
        <v>8</v>
      </c>
      <c r="U348" s="3">
        <v>65340</v>
      </c>
      <c r="V348">
        <v>40</v>
      </c>
      <c r="W348" s="3">
        <v>0</v>
      </c>
      <c r="X348" t="s">
        <v>253</v>
      </c>
      <c r="Y348">
        <v>5002</v>
      </c>
      <c r="Z348" t="s">
        <v>258</v>
      </c>
      <c r="AA348" s="25" t="s">
        <v>192</v>
      </c>
      <c r="AB348" s="25" t="s">
        <v>255</v>
      </c>
      <c r="AC348" s="25" t="s">
        <v>109</v>
      </c>
      <c r="AD348" s="25" t="s">
        <v>55</v>
      </c>
      <c r="AE348" s="2" t="s">
        <v>256</v>
      </c>
    </row>
    <row r="349" spans="1:31" ht="32.1">
      <c r="A349" t="s">
        <v>260</v>
      </c>
      <c r="B349" t="s">
        <v>91</v>
      </c>
      <c r="C349" s="3">
        <v>8987481</v>
      </c>
      <c r="D349" s="3">
        <v>791316</v>
      </c>
      <c r="E349" s="3">
        <v>146400</v>
      </c>
      <c r="F349" s="3">
        <v>15238</v>
      </c>
      <c r="G349" s="3">
        <v>96792</v>
      </c>
      <c r="H349" s="3">
        <v>0</v>
      </c>
      <c r="I349" s="3"/>
      <c r="J349" s="3">
        <v>0</v>
      </c>
      <c r="K349" s="3"/>
      <c r="L349" s="3"/>
      <c r="M349" s="3">
        <v>2613600</v>
      </c>
      <c r="N349" s="3">
        <v>2976800</v>
      </c>
      <c r="O349" s="3">
        <v>783481</v>
      </c>
      <c r="P349" s="3">
        <v>355140</v>
      </c>
      <c r="Q349" s="3">
        <v>428340</v>
      </c>
      <c r="R349" s="3" t="s">
        <v>40</v>
      </c>
      <c r="S349" s="3">
        <v>10</v>
      </c>
      <c r="T349" s="3">
        <v>8</v>
      </c>
      <c r="U349" s="3">
        <v>65340</v>
      </c>
      <c r="V349">
        <v>40</v>
      </c>
      <c r="W349" s="3">
        <v>0</v>
      </c>
      <c r="X349" t="s">
        <v>253</v>
      </c>
      <c r="Y349">
        <v>5002</v>
      </c>
      <c r="Z349" t="s">
        <v>258</v>
      </c>
      <c r="AA349" s="25" t="s">
        <v>192</v>
      </c>
      <c r="AB349" s="25" t="s">
        <v>255</v>
      </c>
      <c r="AC349" s="25" t="s">
        <v>109</v>
      </c>
      <c r="AD349" s="25" t="s">
        <v>109</v>
      </c>
      <c r="AE349" s="2" t="s">
        <v>256</v>
      </c>
    </row>
    <row r="350" spans="1:31" ht="32.1">
      <c r="A350" t="s">
        <v>261</v>
      </c>
      <c r="B350" t="s">
        <v>91</v>
      </c>
      <c r="C350" s="3">
        <v>8934658</v>
      </c>
      <c r="D350" s="3">
        <v>737965</v>
      </c>
      <c r="E350" s="3">
        <v>135834</v>
      </c>
      <c r="F350" s="3">
        <v>15165</v>
      </c>
      <c r="G350" s="3">
        <v>96792</v>
      </c>
      <c r="H350" s="3">
        <v>0</v>
      </c>
      <c r="I350" s="3"/>
      <c r="J350" s="3">
        <v>0</v>
      </c>
      <c r="K350" s="3"/>
      <c r="L350" s="3"/>
      <c r="M350" s="3">
        <v>2613600</v>
      </c>
      <c r="N350" s="3">
        <v>2976800</v>
      </c>
      <c r="O350" s="3">
        <v>730658</v>
      </c>
      <c r="P350" s="3">
        <v>328729</v>
      </c>
      <c r="Q350" s="3">
        <v>401929</v>
      </c>
      <c r="R350" s="3" t="s">
        <v>40</v>
      </c>
      <c r="S350" s="3">
        <v>10</v>
      </c>
      <c r="T350" s="3">
        <v>8</v>
      </c>
      <c r="U350" s="3">
        <v>65340</v>
      </c>
      <c r="V350">
        <v>40</v>
      </c>
      <c r="W350" s="3">
        <v>0</v>
      </c>
      <c r="X350" t="s">
        <v>253</v>
      </c>
      <c r="Y350">
        <v>5002</v>
      </c>
      <c r="Z350" t="s">
        <v>258</v>
      </c>
      <c r="AA350" s="25" t="s">
        <v>192</v>
      </c>
      <c r="AB350" s="25" t="s">
        <v>255</v>
      </c>
      <c r="AC350" s="25" t="s">
        <v>109</v>
      </c>
      <c r="AD350" s="25" t="s">
        <v>55</v>
      </c>
      <c r="AE350" s="2" t="s">
        <v>256</v>
      </c>
    </row>
    <row r="351" spans="1:31" ht="32.1">
      <c r="A351" t="s">
        <v>260</v>
      </c>
      <c r="B351" s="45" t="s">
        <v>262</v>
      </c>
      <c r="C351" s="3">
        <v>9014368</v>
      </c>
      <c r="D351" s="3">
        <v>818472</v>
      </c>
      <c r="E351" s="3">
        <v>154534</v>
      </c>
      <c r="F351" s="3">
        <v>16085</v>
      </c>
      <c r="G351" s="3">
        <v>96792</v>
      </c>
      <c r="H351" s="3">
        <v>0</v>
      </c>
      <c r="I351" s="3"/>
      <c r="J351" s="3">
        <v>0</v>
      </c>
      <c r="K351" s="3"/>
      <c r="L351" s="3"/>
      <c r="M351" s="3">
        <v>2613600</v>
      </c>
      <c r="N351" s="3">
        <v>2976800</v>
      </c>
      <c r="O351" s="3">
        <v>810368</v>
      </c>
      <c r="P351" s="3">
        <v>368584</v>
      </c>
      <c r="Q351" s="3">
        <v>441784</v>
      </c>
      <c r="R351" s="3" t="s">
        <v>40</v>
      </c>
      <c r="S351" s="26">
        <v>10</v>
      </c>
      <c r="T351" s="26">
        <v>8</v>
      </c>
      <c r="U351" s="26">
        <v>65340</v>
      </c>
      <c r="V351" s="25">
        <v>40</v>
      </c>
      <c r="W351" s="26">
        <v>0</v>
      </c>
      <c r="X351" s="25" t="s">
        <v>253</v>
      </c>
      <c r="Y351" s="25">
        <v>5002</v>
      </c>
      <c r="Z351" s="25" t="s">
        <v>258</v>
      </c>
      <c r="AA351" s="25" t="s">
        <v>192</v>
      </c>
      <c r="AB351" s="25" t="s">
        <v>255</v>
      </c>
      <c r="AC351" s="25" t="s">
        <v>109</v>
      </c>
      <c r="AD351" s="25" t="s">
        <v>109</v>
      </c>
      <c r="AE351" s="55" t="s">
        <v>256</v>
      </c>
    </row>
    <row r="352" spans="1:31" ht="32.1">
      <c r="A352" t="s">
        <v>261</v>
      </c>
      <c r="B352" s="45" t="s">
        <v>262</v>
      </c>
      <c r="C352" s="3">
        <v>8959830</v>
      </c>
      <c r="D352" s="3">
        <v>763388</v>
      </c>
      <c r="E352" s="3">
        <v>143380</v>
      </c>
      <c r="F352" s="3">
        <v>16008</v>
      </c>
      <c r="G352" s="3">
        <v>96792</v>
      </c>
      <c r="H352" s="3">
        <v>0</v>
      </c>
      <c r="I352" s="3"/>
      <c r="J352" s="3">
        <v>0</v>
      </c>
      <c r="K352" s="3"/>
      <c r="L352" s="3"/>
      <c r="M352" s="3">
        <v>2613600</v>
      </c>
      <c r="N352" s="3">
        <v>2976800</v>
      </c>
      <c r="O352" s="3">
        <v>755830</v>
      </c>
      <c r="P352" s="3">
        <v>341315</v>
      </c>
      <c r="Q352" s="3">
        <v>414515</v>
      </c>
      <c r="R352" s="3" t="s">
        <v>40</v>
      </c>
      <c r="S352" s="26">
        <v>10</v>
      </c>
      <c r="T352" s="26">
        <v>8</v>
      </c>
      <c r="U352" s="26">
        <v>65340</v>
      </c>
      <c r="V352" s="25">
        <v>40</v>
      </c>
      <c r="W352" s="26">
        <v>0</v>
      </c>
      <c r="X352" s="25" t="s">
        <v>253</v>
      </c>
      <c r="Y352" s="25">
        <v>5002</v>
      </c>
      <c r="Z352" s="25" t="s">
        <v>258</v>
      </c>
      <c r="AA352" s="25" t="s">
        <v>192</v>
      </c>
      <c r="AB352" s="25" t="s">
        <v>255</v>
      </c>
      <c r="AC352" s="25" t="s">
        <v>109</v>
      </c>
      <c r="AD352" s="25" t="s">
        <v>55</v>
      </c>
      <c r="AE352" s="55" t="s">
        <v>256</v>
      </c>
    </row>
    <row r="353" spans="1:32" ht="32.1">
      <c r="A353" t="s">
        <v>260</v>
      </c>
      <c r="B353" s="36" t="s">
        <v>97</v>
      </c>
      <c r="C353" s="3">
        <v>9456699</v>
      </c>
      <c r="D353" s="3">
        <v>659226</v>
      </c>
      <c r="E353" s="3">
        <v>150096</v>
      </c>
      <c r="F353" s="3">
        <v>12870</v>
      </c>
      <c r="G353" s="3">
        <v>94370</v>
      </c>
      <c r="H353" s="3">
        <v>0</v>
      </c>
      <c r="I353" s="3"/>
      <c r="J353" s="3">
        <v>0</v>
      </c>
      <c r="K353" s="3"/>
      <c r="L353" s="3"/>
      <c r="M353" s="3">
        <v>2613600</v>
      </c>
      <c r="N353" s="3">
        <v>3576800</v>
      </c>
      <c r="O353" s="3">
        <v>652698</v>
      </c>
      <c r="P353" s="3">
        <v>509780</v>
      </c>
      <c r="Q353" s="3">
        <v>142918</v>
      </c>
      <c r="R353" s="3" t="s">
        <v>40</v>
      </c>
      <c r="S353" s="26">
        <v>10</v>
      </c>
      <c r="T353" s="26">
        <v>8</v>
      </c>
      <c r="U353" s="26">
        <v>65340</v>
      </c>
      <c r="V353" s="25">
        <v>40</v>
      </c>
      <c r="W353" s="26">
        <v>0</v>
      </c>
      <c r="X353" s="25" t="s">
        <v>253</v>
      </c>
      <c r="Y353" s="25">
        <v>5002</v>
      </c>
      <c r="Z353" s="25" t="s">
        <v>258</v>
      </c>
      <c r="AA353" s="25" t="s">
        <v>192</v>
      </c>
      <c r="AB353" s="25" t="s">
        <v>255</v>
      </c>
      <c r="AC353" s="25" t="s">
        <v>109</v>
      </c>
      <c r="AD353" s="25" t="s">
        <v>109</v>
      </c>
      <c r="AE353" s="55" t="s">
        <v>256</v>
      </c>
    </row>
    <row r="354" spans="1:32" ht="32.1">
      <c r="A354" t="s">
        <v>261</v>
      </c>
      <c r="B354" s="36" t="s">
        <v>97</v>
      </c>
      <c r="C354" s="3">
        <v>9412247</v>
      </c>
      <c r="D354" s="3">
        <v>614329</v>
      </c>
      <c r="E354" s="3">
        <v>135286</v>
      </c>
      <c r="F354" s="3">
        <v>12457</v>
      </c>
      <c r="G354" s="3">
        <v>94367</v>
      </c>
      <c r="H354" s="3">
        <v>0</v>
      </c>
      <c r="I354" s="3"/>
      <c r="J354" s="3">
        <v>0</v>
      </c>
      <c r="K354" s="3"/>
      <c r="L354" s="3"/>
      <c r="M354" s="3">
        <v>2613600</v>
      </c>
      <c r="N354" s="3">
        <v>3576800</v>
      </c>
      <c r="O354" s="3">
        <v>608246</v>
      </c>
      <c r="P354" s="3">
        <v>461399</v>
      </c>
      <c r="Q354" s="3">
        <v>146847</v>
      </c>
      <c r="R354" s="3" t="s">
        <v>40</v>
      </c>
      <c r="S354" s="26">
        <v>10</v>
      </c>
      <c r="T354" s="26">
        <v>8</v>
      </c>
      <c r="U354" s="26">
        <v>65340</v>
      </c>
      <c r="V354" s="25">
        <v>40</v>
      </c>
      <c r="W354" s="26">
        <v>0</v>
      </c>
      <c r="X354" s="25" t="s">
        <v>253</v>
      </c>
      <c r="Y354" s="25">
        <v>5002</v>
      </c>
      <c r="Z354" s="25" t="s">
        <v>258</v>
      </c>
      <c r="AA354" s="25" t="s">
        <v>192</v>
      </c>
      <c r="AB354" s="25" t="s">
        <v>255</v>
      </c>
      <c r="AC354" s="25" t="s">
        <v>109</v>
      </c>
      <c r="AD354" s="25" t="s">
        <v>55</v>
      </c>
      <c r="AE354" s="55" t="s">
        <v>256</v>
      </c>
    </row>
    <row r="356" spans="1:32" s="51" customFormat="1">
      <c r="A356" s="50" t="s">
        <v>263</v>
      </c>
      <c r="B356" s="50" t="s">
        <v>113</v>
      </c>
    </row>
    <row r="357" spans="1:32">
      <c r="A357" s="27"/>
      <c r="B357" s="29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9"/>
      <c r="T357" s="29"/>
      <c r="U357" s="28"/>
      <c r="V357" s="28"/>
      <c r="W357" s="28"/>
      <c r="X357" s="28"/>
      <c r="Y357" s="28"/>
      <c r="Z357" s="28"/>
      <c r="AA357" s="29"/>
      <c r="AB357" s="28"/>
      <c r="AC357" s="28"/>
      <c r="AD357" s="28"/>
      <c r="AE357" s="29"/>
      <c r="AF357" s="29"/>
    </row>
    <row r="358" spans="1:32" ht="32.1">
      <c r="A358" t="s">
        <v>264</v>
      </c>
      <c r="B358" s="36" t="s">
        <v>97</v>
      </c>
      <c r="C358" s="3">
        <v>9581938</v>
      </c>
      <c r="D358" s="3">
        <v>630096</v>
      </c>
      <c r="E358" s="3">
        <v>105816</v>
      </c>
      <c r="F358" s="3">
        <v>6033</v>
      </c>
      <c r="G358" s="3">
        <v>220778</v>
      </c>
      <c r="H358" s="3">
        <v>0</v>
      </c>
      <c r="I358" s="3"/>
      <c r="J358" s="3">
        <v>0</v>
      </c>
      <c r="K358" s="3"/>
      <c r="L358" s="3"/>
      <c r="R358" t="s">
        <v>40</v>
      </c>
      <c r="S358" s="26">
        <v>4</v>
      </c>
      <c r="T358" s="26">
        <v>4</v>
      </c>
      <c r="U358" t="s">
        <v>265</v>
      </c>
      <c r="V358" s="25">
        <v>17</v>
      </c>
      <c r="W358" s="26">
        <v>0</v>
      </c>
      <c r="X358" s="26">
        <v>0</v>
      </c>
      <c r="Y358" s="25">
        <v>12000</v>
      </c>
      <c r="Z358" s="25" t="s">
        <v>266</v>
      </c>
      <c r="AA358" t="s">
        <v>267</v>
      </c>
      <c r="AB358" s="25" t="s">
        <v>268</v>
      </c>
      <c r="AC358" s="25" t="s">
        <v>109</v>
      </c>
      <c r="AD358" s="25" t="s">
        <v>109</v>
      </c>
      <c r="AE358" s="2" t="s">
        <v>269</v>
      </c>
    </row>
    <row r="361" spans="1:32" s="51" customFormat="1" ht="32.1">
      <c r="A361" s="51" t="s">
        <v>270</v>
      </c>
      <c r="B361" s="50" t="s">
        <v>113</v>
      </c>
      <c r="E361" s="51">
        <v>56317</v>
      </c>
      <c r="F361" s="51">
        <v>5749</v>
      </c>
      <c r="AE361" s="56" t="s">
        <v>269</v>
      </c>
    </row>
    <row r="362" spans="1:32">
      <c r="A362" s="27"/>
      <c r="B362" s="29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9"/>
      <c r="T362" s="29"/>
      <c r="U362" s="28"/>
      <c r="V362" s="28"/>
      <c r="W362" s="28"/>
      <c r="X362" s="28"/>
      <c r="Y362" s="28"/>
      <c r="Z362" s="28"/>
      <c r="AA362" s="29"/>
      <c r="AB362" s="28"/>
      <c r="AC362" s="28"/>
      <c r="AD362" s="28"/>
      <c r="AE362" s="29"/>
      <c r="AF362" s="29"/>
    </row>
    <row r="363" spans="1:32">
      <c r="A363" t="s">
        <v>271</v>
      </c>
      <c r="B363" s="36" t="s">
        <v>97</v>
      </c>
      <c r="C363">
        <v>14143805</v>
      </c>
      <c r="D363">
        <v>530610</v>
      </c>
      <c r="E363">
        <v>92619</v>
      </c>
      <c r="F363">
        <v>7499</v>
      </c>
      <c r="G363">
        <v>142931</v>
      </c>
      <c r="H363">
        <v>11636</v>
      </c>
      <c r="J363">
        <v>0</v>
      </c>
      <c r="M363">
        <v>4591224</v>
      </c>
      <c r="N363">
        <v>4436000</v>
      </c>
      <c r="O363">
        <v>525356</v>
      </c>
      <c r="P363">
        <v>371674</v>
      </c>
      <c r="Q363">
        <v>153682</v>
      </c>
      <c r="R363" t="s">
        <v>40</v>
      </c>
      <c r="S363">
        <v>4</v>
      </c>
      <c r="T363">
        <v>4</v>
      </c>
      <c r="U363" t="s">
        <v>272</v>
      </c>
      <c r="V363">
        <v>17</v>
      </c>
      <c r="W363" t="s">
        <v>273</v>
      </c>
      <c r="X363">
        <v>0</v>
      </c>
      <c r="Y363">
        <v>7800</v>
      </c>
      <c r="Z363" t="s">
        <v>274</v>
      </c>
      <c r="AA363" t="s">
        <v>275</v>
      </c>
      <c r="AB363" t="s">
        <v>276</v>
      </c>
      <c r="AC363" t="s">
        <v>109</v>
      </c>
      <c r="AD363" t="s">
        <v>109</v>
      </c>
      <c r="AE363" t="s">
        <v>277</v>
      </c>
      <c r="AF363" t="s">
        <v>278</v>
      </c>
    </row>
    <row r="366" spans="1:32" s="51" customFormat="1" ht="15.95">
      <c r="A366" s="56" t="s">
        <v>279</v>
      </c>
      <c r="B366" s="50" t="s">
        <v>113</v>
      </c>
      <c r="E366" s="51">
        <v>107472</v>
      </c>
      <c r="F366" s="51">
        <v>7393</v>
      </c>
      <c r="G366" s="51">
        <v>223037</v>
      </c>
      <c r="H366" s="51">
        <v>32073</v>
      </c>
    </row>
    <row r="367" spans="1:32">
      <c r="A367" s="27"/>
      <c r="B367" s="29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9"/>
      <c r="T367" s="29"/>
      <c r="U367" s="28"/>
      <c r="V367" s="28"/>
      <c r="W367" s="28"/>
      <c r="X367" s="28"/>
      <c r="Y367" s="28"/>
      <c r="Z367" s="28"/>
      <c r="AA367" s="29"/>
      <c r="AB367" s="28"/>
      <c r="AC367" s="28"/>
      <c r="AD367" s="28"/>
      <c r="AE367" s="29"/>
      <c r="AF367" s="29"/>
    </row>
    <row r="369" spans="1:31">
      <c r="A369" t="s">
        <v>280</v>
      </c>
      <c r="B369" t="s">
        <v>281</v>
      </c>
      <c r="C369" s="3">
        <v>9092232</v>
      </c>
      <c r="D369" s="3">
        <v>613701</v>
      </c>
      <c r="E369" s="3">
        <v>141728</v>
      </c>
      <c r="F369" s="3">
        <v>11651</v>
      </c>
      <c r="G369" s="3">
        <v>113437</v>
      </c>
      <c r="H369" s="3">
        <v>38106</v>
      </c>
      <c r="I369" s="3"/>
      <c r="J369" s="3">
        <v>0</v>
      </c>
      <c r="K369" s="3">
        <v>0</v>
      </c>
      <c r="L369" s="3">
        <v>0</v>
      </c>
      <c r="M369" s="3">
        <v>692604</v>
      </c>
      <c r="N369" s="3">
        <v>7099400</v>
      </c>
      <c r="O369" s="3">
        <v>607624</v>
      </c>
      <c r="P369" s="3">
        <v>512431</v>
      </c>
      <c r="Q369" s="3">
        <v>95192</v>
      </c>
      <c r="R369" t="s">
        <v>282</v>
      </c>
      <c r="S369" s="26">
        <v>11</v>
      </c>
      <c r="T369" s="26">
        <v>10</v>
      </c>
      <c r="U369" s="26">
        <v>461736</v>
      </c>
      <c r="V369">
        <v>1.5</v>
      </c>
      <c r="W369" t="s">
        <v>283</v>
      </c>
      <c r="X369">
        <v>0</v>
      </c>
      <c r="Y369">
        <v>6702</v>
      </c>
      <c r="Z369" t="s">
        <v>284</v>
      </c>
      <c r="AA369" t="s">
        <v>285</v>
      </c>
      <c r="AB369" t="s">
        <v>286</v>
      </c>
      <c r="AC369" t="s">
        <v>109</v>
      </c>
      <c r="AD369" t="s">
        <v>109</v>
      </c>
      <c r="AE369" s="57" t="s">
        <v>287</v>
      </c>
    </row>
    <row r="370" spans="1:31">
      <c r="A370" t="s">
        <v>280</v>
      </c>
      <c r="B370" t="s">
        <v>288</v>
      </c>
      <c r="C370" s="3">
        <v>9602336</v>
      </c>
      <c r="D370">
        <v>994496</v>
      </c>
      <c r="E370" s="3">
        <v>164120</v>
      </c>
      <c r="F370">
        <v>81851</v>
      </c>
      <c r="G370" s="3">
        <v>113437</v>
      </c>
      <c r="H370">
        <v>38106</v>
      </c>
      <c r="J370" s="3">
        <v>0</v>
      </c>
      <c r="K370" s="3">
        <v>0</v>
      </c>
      <c r="L370" s="3">
        <v>0</v>
      </c>
      <c r="M370" s="3">
        <v>692604</v>
      </c>
      <c r="N370" s="3">
        <v>4031700</v>
      </c>
      <c r="O370">
        <v>984649</v>
      </c>
      <c r="P370" s="3">
        <v>825422</v>
      </c>
      <c r="Q370" s="3">
        <v>159226</v>
      </c>
      <c r="R370" t="s">
        <v>282</v>
      </c>
      <c r="S370" s="26">
        <v>11</v>
      </c>
      <c r="T370" s="26">
        <v>10</v>
      </c>
      <c r="U370" s="26">
        <v>461736</v>
      </c>
      <c r="V370">
        <v>1.5</v>
      </c>
      <c r="W370" t="s">
        <v>283</v>
      </c>
      <c r="X370">
        <v>0</v>
      </c>
      <c r="Y370">
        <v>6702</v>
      </c>
      <c r="Z370" t="s">
        <v>284</v>
      </c>
      <c r="AA370" t="s">
        <v>285</v>
      </c>
      <c r="AB370" t="s">
        <v>286</v>
      </c>
      <c r="AC370" t="s">
        <v>109</v>
      </c>
      <c r="AD370" t="s">
        <v>109</v>
      </c>
      <c r="AE370" s="57" t="s">
        <v>287</v>
      </c>
    </row>
    <row r="371" spans="1:31">
      <c r="A371" t="s">
        <v>280</v>
      </c>
      <c r="B371" t="s">
        <v>289</v>
      </c>
      <c r="C371" s="3">
        <v>13497605</v>
      </c>
      <c r="D371" s="3">
        <v>1331468</v>
      </c>
      <c r="E371" s="3">
        <v>230592</v>
      </c>
      <c r="F371" s="3">
        <v>98283</v>
      </c>
      <c r="G371" s="3">
        <v>159925</v>
      </c>
      <c r="H371" s="3">
        <v>99799</v>
      </c>
      <c r="I371" s="3"/>
      <c r="J371" s="3">
        <v>0</v>
      </c>
      <c r="K371" s="3">
        <v>0</v>
      </c>
      <c r="L371" s="3">
        <v>0</v>
      </c>
      <c r="M371" s="3">
        <v>692604</v>
      </c>
      <c r="N371" s="3">
        <v>6605200</v>
      </c>
      <c r="O371" s="3">
        <v>1318284</v>
      </c>
      <c r="P371" s="3">
        <v>1097275</v>
      </c>
      <c r="Q371" s="3">
        <v>221009</v>
      </c>
      <c r="R371" t="s">
        <v>282</v>
      </c>
      <c r="S371" s="26">
        <v>11</v>
      </c>
      <c r="T371" s="26">
        <v>10</v>
      </c>
      <c r="U371" s="26">
        <v>461736</v>
      </c>
      <c r="V371">
        <v>1.5</v>
      </c>
      <c r="W371" t="s">
        <v>283</v>
      </c>
      <c r="X371">
        <v>0</v>
      </c>
      <c r="Y371">
        <v>6702</v>
      </c>
      <c r="Z371" t="s">
        <v>284</v>
      </c>
      <c r="AA371" t="s">
        <v>285</v>
      </c>
      <c r="AB371" t="s">
        <v>286</v>
      </c>
      <c r="AC371" t="s">
        <v>109</v>
      </c>
      <c r="AD371" t="s">
        <v>109</v>
      </c>
      <c r="AE371" s="57" t="s">
        <v>287</v>
      </c>
    </row>
    <row r="372" spans="1:31">
      <c r="A372" t="s">
        <v>280</v>
      </c>
      <c r="B372" s="3" t="s">
        <v>289</v>
      </c>
      <c r="C372" s="3">
        <v>13602327</v>
      </c>
      <c r="D372" s="3">
        <v>1360982</v>
      </c>
      <c r="E372" s="3">
        <v>251720</v>
      </c>
      <c r="F372" s="3">
        <v>90213</v>
      </c>
      <c r="G372" s="3">
        <v>160014</v>
      </c>
      <c r="H372" s="3">
        <v>100072</v>
      </c>
      <c r="I372" s="3"/>
      <c r="J372" s="3">
        <v>0</v>
      </c>
      <c r="K372" s="3">
        <v>0</v>
      </c>
      <c r="L372" s="3">
        <v>0</v>
      </c>
      <c r="M372" s="3">
        <v>692604</v>
      </c>
      <c r="N372" s="3">
        <v>6648200</v>
      </c>
      <c r="O372" s="3">
        <v>1347507</v>
      </c>
      <c r="P372" s="3">
        <v>1122853</v>
      </c>
      <c r="Q372" s="3">
        <v>224653</v>
      </c>
      <c r="R372" t="s">
        <v>282</v>
      </c>
      <c r="S372" s="26">
        <v>11</v>
      </c>
      <c r="T372" s="26">
        <v>10</v>
      </c>
      <c r="U372" s="26">
        <v>461736</v>
      </c>
      <c r="V372">
        <v>1.5</v>
      </c>
      <c r="W372" t="s">
        <v>283</v>
      </c>
      <c r="X372">
        <v>0</v>
      </c>
      <c r="Y372">
        <v>6702</v>
      </c>
      <c r="Z372" t="s">
        <v>284</v>
      </c>
      <c r="AA372" t="s">
        <v>285</v>
      </c>
      <c r="AB372" t="s">
        <v>286</v>
      </c>
      <c r="AC372" t="s">
        <v>109</v>
      </c>
      <c r="AD372" t="s">
        <v>109</v>
      </c>
      <c r="AE372" s="57" t="s">
        <v>287</v>
      </c>
    </row>
    <row r="373" spans="1:31">
      <c r="A373" t="s">
        <v>280</v>
      </c>
      <c r="B373" t="s">
        <v>289</v>
      </c>
      <c r="C373" s="3">
        <v>13600086</v>
      </c>
      <c r="D373" s="3">
        <v>1359421</v>
      </c>
      <c r="E373" s="3">
        <v>251326</v>
      </c>
      <c r="F373" s="3">
        <v>90111</v>
      </c>
      <c r="G373" s="3">
        <v>160013</v>
      </c>
      <c r="H373" s="3">
        <v>38828</v>
      </c>
      <c r="I373" s="3">
        <v>18355</v>
      </c>
      <c r="J373" s="3">
        <v>0</v>
      </c>
      <c r="K373" s="3">
        <v>0</v>
      </c>
      <c r="L373" s="3">
        <v>0</v>
      </c>
      <c r="M373" s="3">
        <v>692604</v>
      </c>
      <c r="N373" s="3">
        <v>6648200</v>
      </c>
      <c r="O373" s="3">
        <v>1347507</v>
      </c>
      <c r="P373" s="3">
        <v>1122853</v>
      </c>
      <c r="Q373" s="3">
        <v>224653</v>
      </c>
      <c r="R373" t="s">
        <v>282</v>
      </c>
      <c r="S373" s="26">
        <v>11</v>
      </c>
      <c r="T373" s="26">
        <v>10</v>
      </c>
      <c r="U373" s="26">
        <v>461736</v>
      </c>
      <c r="V373">
        <v>1.5</v>
      </c>
      <c r="W373" t="s">
        <v>283</v>
      </c>
      <c r="X373">
        <v>0</v>
      </c>
      <c r="Y373">
        <v>6702</v>
      </c>
      <c r="Z373" t="s">
        <v>284</v>
      </c>
      <c r="AA373" t="s">
        <v>285</v>
      </c>
      <c r="AB373" t="s">
        <v>286</v>
      </c>
      <c r="AC373" t="s">
        <v>109</v>
      </c>
      <c r="AD373" t="s">
        <v>109</v>
      </c>
      <c r="AE373" s="57" t="s">
        <v>287</v>
      </c>
    </row>
    <row r="374" spans="1:31">
      <c r="A374" t="s">
        <v>280</v>
      </c>
      <c r="B374" t="s">
        <v>290</v>
      </c>
      <c r="C374" s="3">
        <v>6431997</v>
      </c>
      <c r="D374" s="3" t="s">
        <v>291</v>
      </c>
      <c r="E374" s="3">
        <v>148486</v>
      </c>
      <c r="F374" s="3">
        <v>19476</v>
      </c>
      <c r="G374" s="3">
        <v>134580</v>
      </c>
      <c r="H374" s="3">
        <v>60106</v>
      </c>
      <c r="I374" s="3"/>
      <c r="J374" s="3">
        <v>0</v>
      </c>
      <c r="K374" s="3">
        <v>0</v>
      </c>
      <c r="L374" s="3">
        <v>0</v>
      </c>
      <c r="M374" s="3">
        <v>701838</v>
      </c>
      <c r="N374" s="3">
        <v>4326800</v>
      </c>
      <c r="O374" s="3">
        <v>701519</v>
      </c>
      <c r="P374" s="3">
        <v>569176</v>
      </c>
      <c r="Q374" s="3">
        <v>132343</v>
      </c>
      <c r="R374" s="58" t="s">
        <v>282</v>
      </c>
      <c r="S374" s="26">
        <v>10</v>
      </c>
      <c r="T374" s="26">
        <v>11</v>
      </c>
      <c r="U374" s="26">
        <v>461736</v>
      </c>
      <c r="V374">
        <v>1.5</v>
      </c>
      <c r="W374" t="s">
        <v>292</v>
      </c>
      <c r="X374">
        <v>0</v>
      </c>
      <c r="Y374">
        <v>6702</v>
      </c>
      <c r="Z374" t="s">
        <v>293</v>
      </c>
      <c r="AA374" t="s">
        <v>294</v>
      </c>
      <c r="AB374" t="s">
        <v>295</v>
      </c>
      <c r="AC374" t="s">
        <v>109</v>
      </c>
      <c r="AD374" t="s">
        <v>109</v>
      </c>
      <c r="AE374" s="57" t="s">
        <v>287</v>
      </c>
    </row>
    <row r="375" spans="1:31">
      <c r="A375" t="s">
        <v>280</v>
      </c>
      <c r="B375" t="s">
        <v>296</v>
      </c>
      <c r="C375" s="3" t="s">
        <v>297</v>
      </c>
      <c r="D375" s="3">
        <v>994496</v>
      </c>
      <c r="E375" s="3">
        <v>164120</v>
      </c>
      <c r="F375" s="3">
        <v>81851</v>
      </c>
      <c r="G375" s="3">
        <v>113437</v>
      </c>
      <c r="H375" s="3">
        <v>38106</v>
      </c>
      <c r="I375" s="3"/>
      <c r="J375" s="3">
        <v>0</v>
      </c>
      <c r="K375" s="3">
        <v>0</v>
      </c>
      <c r="L375" s="3">
        <v>0</v>
      </c>
      <c r="M375" s="3">
        <v>692604</v>
      </c>
      <c r="N375" s="3">
        <v>4031700</v>
      </c>
      <c r="O375" s="3">
        <v>984649</v>
      </c>
      <c r="P375" s="3">
        <v>825422</v>
      </c>
      <c r="Q375" s="3">
        <v>159226</v>
      </c>
      <c r="R375" s="58" t="s">
        <v>282</v>
      </c>
      <c r="S375" s="26">
        <v>10</v>
      </c>
      <c r="T375" s="26">
        <v>11</v>
      </c>
      <c r="U375" s="26">
        <v>461736</v>
      </c>
      <c r="V375">
        <v>1.5</v>
      </c>
      <c r="W375" t="s">
        <v>292</v>
      </c>
      <c r="X375">
        <v>0</v>
      </c>
      <c r="Y375">
        <v>6702</v>
      </c>
      <c r="Z375" t="s">
        <v>293</v>
      </c>
      <c r="AA375" t="s">
        <v>294</v>
      </c>
      <c r="AB375" t="s">
        <v>295</v>
      </c>
      <c r="AC375" t="s">
        <v>109</v>
      </c>
      <c r="AD375" t="s">
        <v>109</v>
      </c>
      <c r="AE375" s="57" t="s">
        <v>287</v>
      </c>
    </row>
    <row r="376" spans="1:31">
      <c r="A376" t="s">
        <v>280</v>
      </c>
      <c r="B376" t="s">
        <v>298</v>
      </c>
      <c r="C376" s="3" t="s">
        <v>299</v>
      </c>
      <c r="D376" s="3">
        <v>995769</v>
      </c>
      <c r="E376" s="3">
        <v>164120</v>
      </c>
      <c r="F376" s="3">
        <v>81851</v>
      </c>
      <c r="G376" s="3">
        <v>136794</v>
      </c>
      <c r="H376" s="3">
        <v>48222</v>
      </c>
      <c r="I376" s="3"/>
      <c r="J376" s="3">
        <v>0</v>
      </c>
      <c r="K376" s="3">
        <v>0</v>
      </c>
      <c r="L376" s="3">
        <v>0</v>
      </c>
      <c r="M376" s="3">
        <v>692604</v>
      </c>
      <c r="N376" s="3">
        <v>5107000</v>
      </c>
      <c r="O376" s="3">
        <v>985909</v>
      </c>
      <c r="P376" s="3">
        <v>826216</v>
      </c>
      <c r="Q376" s="3">
        <v>159693</v>
      </c>
      <c r="R376" s="58" t="s">
        <v>282</v>
      </c>
      <c r="S376" s="26">
        <v>10</v>
      </c>
      <c r="T376" s="26">
        <v>11</v>
      </c>
      <c r="U376" s="26">
        <v>461736</v>
      </c>
      <c r="V376">
        <v>1.5</v>
      </c>
      <c r="W376" t="s">
        <v>292</v>
      </c>
      <c r="X376">
        <v>0</v>
      </c>
      <c r="Y376">
        <v>6702</v>
      </c>
      <c r="Z376" t="s">
        <v>293</v>
      </c>
      <c r="AA376" t="s">
        <v>294</v>
      </c>
      <c r="AB376" t="s">
        <v>295</v>
      </c>
      <c r="AC376" t="s">
        <v>109</v>
      </c>
      <c r="AD376" t="s">
        <v>109</v>
      </c>
      <c r="AE376" s="57" t="s">
        <v>287</v>
      </c>
    </row>
    <row r="377" spans="1:31">
      <c r="A377" t="s">
        <v>280</v>
      </c>
      <c r="B377" t="s">
        <v>300</v>
      </c>
      <c r="C377" s="3">
        <v>10038070</v>
      </c>
      <c r="D377" s="3">
        <v>952833</v>
      </c>
      <c r="E377" s="3">
        <v>155482</v>
      </c>
      <c r="F377" s="3">
        <v>77543</v>
      </c>
      <c r="G377" s="3">
        <v>136642</v>
      </c>
      <c r="H377" s="3">
        <v>38413</v>
      </c>
      <c r="J377">
        <v>0</v>
      </c>
      <c r="K377">
        <v>0</v>
      </c>
      <c r="L377">
        <v>0</v>
      </c>
      <c r="M377" s="3">
        <v>692604</v>
      </c>
      <c r="N377" s="3">
        <v>5107000</v>
      </c>
      <c r="O377" t="s">
        <v>301</v>
      </c>
      <c r="P377" s="3">
        <v>788949</v>
      </c>
      <c r="Q377" t="s">
        <v>302</v>
      </c>
      <c r="R377" s="58" t="s">
        <v>282</v>
      </c>
      <c r="S377" s="26">
        <v>10</v>
      </c>
      <c r="T377" s="26">
        <v>11</v>
      </c>
      <c r="U377" s="26">
        <v>461736</v>
      </c>
      <c r="V377">
        <v>1.5</v>
      </c>
      <c r="W377" t="s">
        <v>292</v>
      </c>
      <c r="X377">
        <v>0</v>
      </c>
      <c r="Y377">
        <v>6702</v>
      </c>
      <c r="Z377" t="s">
        <v>303</v>
      </c>
      <c r="AA377" t="s">
        <v>294</v>
      </c>
      <c r="AB377" t="s">
        <v>295</v>
      </c>
      <c r="AC377" t="s">
        <v>109</v>
      </c>
      <c r="AD377" t="s">
        <v>109</v>
      </c>
      <c r="AE377" s="57" t="s">
        <v>287</v>
      </c>
    </row>
    <row r="378" spans="1:31">
      <c r="A378" t="s">
        <v>280</v>
      </c>
      <c r="B378" t="s">
        <v>304</v>
      </c>
      <c r="C378" s="3">
        <v>10678450</v>
      </c>
      <c r="D378" s="3">
        <v>989552</v>
      </c>
      <c r="E378" s="3">
        <v>168840</v>
      </c>
      <c r="F378" s="3">
        <v>71209</v>
      </c>
      <c r="G378" s="3">
        <v>136794</v>
      </c>
      <c r="H378" s="3">
        <v>50151</v>
      </c>
      <c r="I378" s="3">
        <v>18132</v>
      </c>
      <c r="J378">
        <v>0</v>
      </c>
      <c r="K378">
        <v>0</v>
      </c>
      <c r="L378">
        <v>0</v>
      </c>
      <c r="M378" s="3">
        <v>692604</v>
      </c>
      <c r="N378" s="3">
        <v>5545000</v>
      </c>
      <c r="O378" s="3">
        <v>979754</v>
      </c>
      <c r="P378" s="3">
        <v>813368</v>
      </c>
      <c r="Q378" s="3">
        <v>166386</v>
      </c>
      <c r="R378" s="58" t="s">
        <v>282</v>
      </c>
      <c r="S378" s="26">
        <v>11</v>
      </c>
      <c r="T378" s="26">
        <v>10</v>
      </c>
      <c r="U378" s="26">
        <v>461736</v>
      </c>
      <c r="V378">
        <v>1.5</v>
      </c>
      <c r="W378" t="s">
        <v>305</v>
      </c>
      <c r="X378">
        <v>0</v>
      </c>
      <c r="Y378">
        <v>6702</v>
      </c>
      <c r="Z378" t="s">
        <v>293</v>
      </c>
      <c r="AA378" t="s">
        <v>294</v>
      </c>
      <c r="AB378" t="s">
        <v>295</v>
      </c>
      <c r="AC378" t="s">
        <v>109</v>
      </c>
      <c r="AD378" t="s">
        <v>109</v>
      </c>
      <c r="AE378" s="57" t="s">
        <v>287</v>
      </c>
    </row>
    <row r="379" spans="1:31">
      <c r="A379" t="s">
        <v>280</v>
      </c>
      <c r="B379" t="s">
        <v>100</v>
      </c>
      <c r="C379" s="3" t="s">
        <v>306</v>
      </c>
      <c r="D379" s="3">
        <v>1032871</v>
      </c>
      <c r="E379" s="3">
        <v>178219</v>
      </c>
      <c r="F379" s="3">
        <v>75165</v>
      </c>
      <c r="G379" s="3">
        <v>136794</v>
      </c>
      <c r="H379" s="3">
        <v>50151</v>
      </c>
      <c r="I379" s="3">
        <v>23572</v>
      </c>
      <c r="J379">
        <v>0</v>
      </c>
      <c r="K379">
        <v>0</v>
      </c>
      <c r="L379">
        <v>0</v>
      </c>
      <c r="M379" s="3">
        <v>692604</v>
      </c>
      <c r="N379" s="3">
        <v>5545000</v>
      </c>
      <c r="O379" s="3">
        <v>1022644</v>
      </c>
      <c r="P379" s="3">
        <v>851064</v>
      </c>
      <c r="Q379" s="3">
        <v>171580</v>
      </c>
      <c r="R379" s="58" t="s">
        <v>307</v>
      </c>
      <c r="S379" s="26">
        <v>11</v>
      </c>
      <c r="T379" s="26">
        <v>10</v>
      </c>
      <c r="U379" s="26">
        <v>461736</v>
      </c>
      <c r="V379">
        <v>1.5</v>
      </c>
      <c r="W379" t="s">
        <v>305</v>
      </c>
      <c r="X379">
        <v>0</v>
      </c>
      <c r="Y379">
        <v>6702</v>
      </c>
      <c r="Z379" t="s">
        <v>293</v>
      </c>
      <c r="AA379" t="s">
        <v>294</v>
      </c>
      <c r="AB379" t="s">
        <v>295</v>
      </c>
      <c r="AC379" t="s">
        <v>109</v>
      </c>
      <c r="AD379" t="s">
        <v>109</v>
      </c>
      <c r="AE379" s="57" t="s">
        <v>287</v>
      </c>
    </row>
    <row r="380" spans="1:31">
      <c r="A380" t="s">
        <v>280</v>
      </c>
      <c r="B380" t="s">
        <v>100</v>
      </c>
      <c r="C380" s="3">
        <v>11627048</v>
      </c>
      <c r="D380" s="3">
        <v>1144653</v>
      </c>
      <c r="E380" s="3">
        <v>203411</v>
      </c>
      <c r="F380" s="3">
        <v>78246</v>
      </c>
      <c r="G380" s="3">
        <v>148194</v>
      </c>
      <c r="H380" s="3">
        <v>59796</v>
      </c>
      <c r="I380" s="3">
        <v>28105</v>
      </c>
      <c r="J380">
        <v>0</v>
      </c>
      <c r="K380">
        <v>0</v>
      </c>
      <c r="L380">
        <v>0</v>
      </c>
      <c r="M380" s="3">
        <v>692604</v>
      </c>
      <c r="N380" s="3">
        <v>6094100</v>
      </c>
      <c r="O380" s="3">
        <v>1133319</v>
      </c>
      <c r="P380" s="3" t="s">
        <v>308</v>
      </c>
      <c r="Q380" s="3">
        <v>191675</v>
      </c>
      <c r="R380" s="58" t="s">
        <v>309</v>
      </c>
      <c r="S380" s="26">
        <v>11</v>
      </c>
      <c r="T380" s="26">
        <v>10</v>
      </c>
      <c r="U380" s="26">
        <v>461736</v>
      </c>
      <c r="V380">
        <v>1.5</v>
      </c>
      <c r="W380" t="s">
        <v>305</v>
      </c>
      <c r="X380">
        <v>0</v>
      </c>
      <c r="Y380">
        <v>6702</v>
      </c>
      <c r="Z380" t="s">
        <v>293</v>
      </c>
      <c r="AA380" t="s">
        <v>294</v>
      </c>
      <c r="AB380" t="s">
        <v>295</v>
      </c>
      <c r="AC380" t="s">
        <v>109</v>
      </c>
      <c r="AD380" t="s">
        <v>109</v>
      </c>
      <c r="AE380" s="57" t="s">
        <v>287</v>
      </c>
    </row>
    <row r="381" spans="1:31">
      <c r="A381" t="s">
        <v>280</v>
      </c>
      <c r="B381" t="s">
        <v>100</v>
      </c>
      <c r="C381" s="3">
        <v>13127868</v>
      </c>
      <c r="D381" s="3">
        <v>1357077</v>
      </c>
      <c r="E381" s="3">
        <v>251203</v>
      </c>
      <c r="F381" s="3">
        <v>90022</v>
      </c>
      <c r="G381" s="3">
        <v>159505</v>
      </c>
      <c r="H381" s="3">
        <v>67367</v>
      </c>
      <c r="I381" s="3">
        <v>31603</v>
      </c>
      <c r="J381">
        <v>0</v>
      </c>
      <c r="K381">
        <v>0</v>
      </c>
      <c r="L381">
        <v>0</v>
      </c>
      <c r="M381" s="3">
        <v>692604</v>
      </c>
      <c r="N381" s="3">
        <v>6648200</v>
      </c>
      <c r="O381" s="3" t="s">
        <v>310</v>
      </c>
      <c r="P381" s="3">
        <v>1119908</v>
      </c>
      <c r="Q381" s="3">
        <v>223732</v>
      </c>
      <c r="R381" s="58" t="s">
        <v>311</v>
      </c>
      <c r="S381" s="26">
        <v>11</v>
      </c>
      <c r="T381" s="26">
        <v>10</v>
      </c>
      <c r="U381" s="26">
        <v>461736</v>
      </c>
      <c r="V381">
        <v>1.5</v>
      </c>
      <c r="W381" t="s">
        <v>305</v>
      </c>
      <c r="X381">
        <v>0</v>
      </c>
      <c r="Y381">
        <v>6702</v>
      </c>
      <c r="Z381" t="s">
        <v>293</v>
      </c>
      <c r="AA381" t="s">
        <v>294</v>
      </c>
      <c r="AB381" t="s">
        <v>295</v>
      </c>
      <c r="AC381" t="s">
        <v>109</v>
      </c>
      <c r="AD381" t="s">
        <v>109</v>
      </c>
      <c r="AE381" s="57" t="s">
        <v>287</v>
      </c>
    </row>
    <row r="382" spans="1:31">
      <c r="A382" t="s">
        <v>280</v>
      </c>
      <c r="B382" t="s">
        <v>312</v>
      </c>
      <c r="C382" s="3">
        <v>9941066</v>
      </c>
      <c r="D382" s="3">
        <v>1032871</v>
      </c>
      <c r="E382" s="3">
        <v>178219</v>
      </c>
      <c r="F382" s="3">
        <v>75165</v>
      </c>
      <c r="G382" s="3">
        <v>136794</v>
      </c>
      <c r="H382" s="3">
        <v>50151</v>
      </c>
      <c r="I382" s="3">
        <v>23572</v>
      </c>
      <c r="J382">
        <v>0</v>
      </c>
      <c r="K382">
        <v>0</v>
      </c>
      <c r="L382">
        <v>0</v>
      </c>
      <c r="M382" s="3">
        <v>692604</v>
      </c>
      <c r="N382" s="3">
        <v>5545000</v>
      </c>
      <c r="O382" s="3">
        <v>1022644</v>
      </c>
      <c r="P382" s="3">
        <v>851064</v>
      </c>
      <c r="Q382" s="3">
        <v>171580</v>
      </c>
      <c r="R382" s="58" t="s">
        <v>307</v>
      </c>
      <c r="S382" s="26">
        <v>11</v>
      </c>
      <c r="T382" s="26">
        <v>10</v>
      </c>
      <c r="U382" s="26">
        <v>461736</v>
      </c>
      <c r="V382">
        <v>1.5</v>
      </c>
      <c r="W382" t="s">
        <v>305</v>
      </c>
      <c r="X382">
        <v>0</v>
      </c>
      <c r="Y382">
        <v>6702</v>
      </c>
      <c r="Z382" t="s">
        <v>293</v>
      </c>
      <c r="AA382" t="s">
        <v>294</v>
      </c>
      <c r="AB382" t="s">
        <v>295</v>
      </c>
      <c r="AC382" t="s">
        <v>109</v>
      </c>
      <c r="AD382" t="s">
        <v>109</v>
      </c>
      <c r="AE382" s="57" t="s">
        <v>287</v>
      </c>
    </row>
    <row r="383" spans="1:31">
      <c r="A383" t="s">
        <v>280</v>
      </c>
      <c r="B383" t="s">
        <v>312</v>
      </c>
      <c r="C383" s="3">
        <v>11694550</v>
      </c>
      <c r="D383" s="3">
        <v>1195155</v>
      </c>
      <c r="E383" s="3">
        <v>214711</v>
      </c>
      <c r="F383" s="3">
        <v>82593</v>
      </c>
      <c r="G383" s="3">
        <v>148194</v>
      </c>
      <c r="H383" s="3">
        <v>59796</v>
      </c>
      <c r="I383" s="3">
        <v>28105</v>
      </c>
      <c r="J383">
        <v>0</v>
      </c>
      <c r="K383">
        <v>0</v>
      </c>
      <c r="L383">
        <v>0</v>
      </c>
      <c r="M383" s="3">
        <v>692604</v>
      </c>
      <c r="N383" s="3">
        <v>6094100</v>
      </c>
      <c r="O383" s="3">
        <v>1183321</v>
      </c>
      <c r="P383" s="3">
        <v>985590</v>
      </c>
      <c r="Q383" s="3">
        <v>197730</v>
      </c>
      <c r="R383" s="58" t="s">
        <v>309</v>
      </c>
      <c r="S383" s="26">
        <v>11</v>
      </c>
      <c r="T383" s="26">
        <v>10</v>
      </c>
      <c r="U383" s="26">
        <v>461736</v>
      </c>
      <c r="V383">
        <v>1.5</v>
      </c>
      <c r="W383" t="s">
        <v>305</v>
      </c>
      <c r="X383">
        <v>0</v>
      </c>
      <c r="Y383">
        <v>6702</v>
      </c>
      <c r="Z383" t="s">
        <v>293</v>
      </c>
      <c r="AA383" t="s">
        <v>294</v>
      </c>
      <c r="AB383" t="s">
        <v>295</v>
      </c>
      <c r="AC383" t="s">
        <v>109</v>
      </c>
      <c r="AD383" t="s">
        <v>109</v>
      </c>
      <c r="AE383" s="57" t="s">
        <v>287</v>
      </c>
    </row>
    <row r="384" spans="1:31">
      <c r="A384" t="s">
        <v>280</v>
      </c>
      <c r="B384" t="s">
        <v>312</v>
      </c>
      <c r="C384" s="3">
        <v>13128374</v>
      </c>
      <c r="D384" s="3">
        <v>1357442</v>
      </c>
      <c r="E384" s="3">
        <v>251203</v>
      </c>
      <c r="F384" s="3">
        <v>90022</v>
      </c>
      <c r="G384" s="3">
        <v>159593</v>
      </c>
      <c r="H384" s="3">
        <v>67511</v>
      </c>
      <c r="I384" s="3">
        <v>31731</v>
      </c>
      <c r="J384">
        <v>0</v>
      </c>
      <c r="K384">
        <v>0</v>
      </c>
      <c r="L384">
        <v>0</v>
      </c>
      <c r="M384" s="3">
        <v>692604</v>
      </c>
      <c r="N384" s="3">
        <v>6648200</v>
      </c>
      <c r="O384" s="3">
        <v>1344002</v>
      </c>
      <c r="P384" s="3">
        <v>1120120</v>
      </c>
      <c r="Q384" s="3">
        <v>223881</v>
      </c>
      <c r="R384" s="58" t="s">
        <v>311</v>
      </c>
      <c r="S384" s="26">
        <v>11</v>
      </c>
      <c r="T384" s="26">
        <v>10</v>
      </c>
      <c r="U384" s="26">
        <v>461736</v>
      </c>
      <c r="V384">
        <v>1.5</v>
      </c>
      <c r="W384" t="s">
        <v>305</v>
      </c>
      <c r="X384">
        <v>0</v>
      </c>
      <c r="Y384">
        <v>6702</v>
      </c>
      <c r="Z384" t="s">
        <v>293</v>
      </c>
      <c r="AA384" t="s">
        <v>294</v>
      </c>
      <c r="AB384" t="s">
        <v>295</v>
      </c>
      <c r="AC384" t="s">
        <v>109</v>
      </c>
      <c r="AD384" t="s">
        <v>109</v>
      </c>
      <c r="AE384" s="57" t="s">
        <v>287</v>
      </c>
    </row>
    <row r="385" spans="1:32">
      <c r="C385" s="3"/>
      <c r="D385" s="3"/>
      <c r="E385" s="3"/>
      <c r="F385" s="3"/>
      <c r="G385" s="3"/>
      <c r="H385" s="3"/>
      <c r="I385" s="3"/>
      <c r="M385" s="3"/>
      <c r="N385" s="3"/>
      <c r="O385" s="3"/>
      <c r="P385" s="3"/>
      <c r="Q385" s="3"/>
      <c r="R385" s="58"/>
      <c r="S385" s="26"/>
      <c r="T385" s="26"/>
      <c r="U385" s="26"/>
      <c r="AE385" s="25"/>
    </row>
    <row r="386" spans="1:32">
      <c r="C386" s="3"/>
      <c r="D386" s="3"/>
      <c r="E386" s="3"/>
      <c r="F386" s="3"/>
      <c r="G386" s="3"/>
      <c r="H386" s="3"/>
      <c r="I386" s="3"/>
      <c r="M386" s="3"/>
      <c r="N386" s="3"/>
      <c r="O386" s="3"/>
      <c r="P386" s="3"/>
      <c r="Q386" s="3"/>
      <c r="R386" s="58"/>
      <c r="S386" s="26"/>
      <c r="T386" s="26"/>
      <c r="U386" s="26"/>
      <c r="AE386" s="25"/>
    </row>
    <row r="387" spans="1:32" s="51" customFormat="1">
      <c r="A387" s="51" t="s">
        <v>313</v>
      </c>
      <c r="B387" s="50" t="s">
        <v>113</v>
      </c>
      <c r="R387" s="61"/>
    </row>
    <row r="388" spans="1:32" s="8" customFormat="1">
      <c r="A388" s="6"/>
      <c r="C388" s="7"/>
      <c r="D388" s="7"/>
      <c r="E388" s="7"/>
      <c r="F388" s="7"/>
      <c r="R388" s="62"/>
      <c r="U388" s="7"/>
      <c r="V388" s="7"/>
      <c r="W388" s="7"/>
      <c r="X388" s="7"/>
      <c r="Y388" s="7"/>
      <c r="Z388" s="7"/>
      <c r="AD388" s="7"/>
    </row>
    <row r="389" spans="1:32">
      <c r="A389" s="1" t="s">
        <v>314</v>
      </c>
      <c r="B389" t="s">
        <v>39</v>
      </c>
      <c r="C389" s="3">
        <v>363246</v>
      </c>
      <c r="D389" s="3">
        <v>187912</v>
      </c>
      <c r="E389" s="3">
        <v>127819</v>
      </c>
      <c r="F389" s="3">
        <v>30922</v>
      </c>
      <c r="G389" s="3">
        <v>166190</v>
      </c>
      <c r="H389" s="3"/>
      <c r="I389" s="3"/>
      <c r="J389" s="3"/>
      <c r="K389" s="3"/>
      <c r="L389" s="3"/>
      <c r="M389" s="3">
        <v>153715</v>
      </c>
      <c r="N389" s="3"/>
      <c r="O389" s="3"/>
      <c r="P389" s="3"/>
      <c r="Q389" s="3"/>
      <c r="R389" s="3" t="s">
        <v>315</v>
      </c>
      <c r="AE389" t="s">
        <v>316</v>
      </c>
    </row>
    <row r="390" spans="1:32">
      <c r="A390" s="1" t="s">
        <v>314</v>
      </c>
      <c r="B390" s="36" t="s">
        <v>97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32">
      <c r="A391" s="1" t="s">
        <v>314</v>
      </c>
      <c r="B391" s="3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32">
      <c r="A392" s="1"/>
      <c r="B392" s="3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32">
      <c r="A393" s="1"/>
      <c r="B393" s="3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32">
      <c r="A394" s="24"/>
      <c r="B394" s="25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5"/>
      <c r="T394" s="25"/>
      <c r="U394" s="26"/>
      <c r="V394" s="26"/>
      <c r="W394" s="26"/>
      <c r="X394" s="26"/>
      <c r="Y394" s="26"/>
      <c r="Z394" s="26"/>
      <c r="AA394" s="25"/>
      <c r="AB394" s="26"/>
      <c r="AC394" s="26"/>
      <c r="AD394" s="26"/>
      <c r="AE394" s="25"/>
      <c r="AF394" s="25"/>
    </row>
    <row r="395" spans="1:32" s="51" customFormat="1">
      <c r="A395" s="50"/>
      <c r="B395" s="51" t="s">
        <v>113</v>
      </c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U395" s="34"/>
      <c r="V395" s="34"/>
      <c r="W395" s="34"/>
      <c r="X395" s="34"/>
      <c r="Y395" s="34"/>
      <c r="Z395" s="34"/>
      <c r="AB395" s="34"/>
      <c r="AC395" s="34"/>
      <c r="AD395" s="34"/>
    </row>
    <row r="396" spans="1:32">
      <c r="A396" s="27"/>
      <c r="B396" s="29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9"/>
      <c r="T396" s="29"/>
      <c r="U396" s="28"/>
      <c r="V396" s="28"/>
      <c r="W396" s="28"/>
      <c r="X396" s="28"/>
      <c r="Y396" s="28"/>
      <c r="Z396" s="28"/>
      <c r="AA396" s="29"/>
      <c r="AB396" s="28"/>
      <c r="AC396" s="28"/>
      <c r="AD396" s="28"/>
      <c r="AE396" s="29"/>
      <c r="AF396" s="29"/>
    </row>
    <row r="397" spans="1:32" ht="15.95">
      <c r="A397" s="1" t="s">
        <v>317</v>
      </c>
      <c r="B397" t="s">
        <v>39</v>
      </c>
      <c r="C397" s="3">
        <v>893950</v>
      </c>
      <c r="D397" s="3">
        <v>2012800</v>
      </c>
      <c r="R397" s="3"/>
      <c r="AD397" t="s">
        <v>44</v>
      </c>
      <c r="AE397" s="2" t="s">
        <v>318</v>
      </c>
    </row>
    <row r="398" spans="1:32">
      <c r="A398" s="1" t="s">
        <v>317</v>
      </c>
      <c r="B398" s="36" t="s">
        <v>97</v>
      </c>
      <c r="C398" s="3"/>
      <c r="D398" s="3"/>
      <c r="R398" s="3"/>
    </row>
    <row r="399" spans="1:32">
      <c r="A399" s="1" t="s">
        <v>317</v>
      </c>
      <c r="C399" s="3"/>
      <c r="D399" s="3"/>
      <c r="R399" s="3"/>
    </row>
    <row r="400" spans="1:32">
      <c r="A400" s="1"/>
      <c r="C400" s="3"/>
      <c r="D400" s="3"/>
    </row>
    <row r="401" spans="1:32">
      <c r="A401" s="1"/>
      <c r="C401" s="3"/>
      <c r="D401" s="3"/>
    </row>
    <row r="402" spans="1:32">
      <c r="A402" s="1"/>
      <c r="C402" s="3"/>
      <c r="D402" s="3"/>
    </row>
    <row r="403" spans="1:32" s="51" customFormat="1">
      <c r="A403" s="50"/>
      <c r="B403" s="51" t="s">
        <v>113</v>
      </c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U403" s="34"/>
      <c r="V403" s="34"/>
      <c r="W403" s="34"/>
      <c r="X403" s="34"/>
      <c r="Y403" s="34"/>
      <c r="Z403" s="34"/>
      <c r="AB403" s="34"/>
      <c r="AC403" s="34"/>
      <c r="AD403" s="34"/>
    </row>
    <row r="404" spans="1:32">
      <c r="A404" s="27"/>
      <c r="B404" s="29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9"/>
      <c r="T404" s="29"/>
      <c r="U404" s="28"/>
      <c r="V404" s="28"/>
      <c r="W404" s="28"/>
      <c r="X404" s="28"/>
      <c r="Y404" s="28"/>
      <c r="Z404" s="28"/>
      <c r="AA404" s="29"/>
      <c r="AB404" s="28"/>
      <c r="AC404" s="28"/>
      <c r="AD404" s="28"/>
      <c r="AE404" s="29"/>
      <c r="AF404" s="29"/>
    </row>
    <row r="405" spans="1:32" ht="15.95">
      <c r="A405" s="72" t="s">
        <v>319</v>
      </c>
      <c r="C405" s="3">
        <v>7133041</v>
      </c>
      <c r="D405" s="3">
        <v>254723</v>
      </c>
      <c r="E405" s="3">
        <v>54895</v>
      </c>
      <c r="F405" s="3">
        <v>2386</v>
      </c>
      <c r="G405" s="3">
        <v>76554</v>
      </c>
      <c r="H405" s="3">
        <v>0</v>
      </c>
      <c r="I405" s="3">
        <v>7480</v>
      </c>
      <c r="J405" s="3">
        <v>0</v>
      </c>
      <c r="K405" s="3">
        <v>0</v>
      </c>
      <c r="L405" s="3">
        <v>0</v>
      </c>
      <c r="M405" s="3">
        <v>7133041</v>
      </c>
      <c r="N405" s="3">
        <v>1915000</v>
      </c>
      <c r="O405" s="3">
        <v>252021</v>
      </c>
      <c r="P405" s="3">
        <v>224880</v>
      </c>
      <c r="Q405" s="3">
        <v>27321</v>
      </c>
      <c r="S405">
        <v>5</v>
      </c>
      <c r="T405">
        <v>5</v>
      </c>
      <c r="U405">
        <v>65340</v>
      </c>
      <c r="V405">
        <v>38</v>
      </c>
      <c r="W405" t="s">
        <v>246</v>
      </c>
      <c r="X405">
        <v>0</v>
      </c>
      <c r="Y405">
        <v>4500</v>
      </c>
      <c r="Z405" t="s">
        <v>320</v>
      </c>
      <c r="AA405" t="s">
        <v>285</v>
      </c>
      <c r="AB405" t="s">
        <v>108</v>
      </c>
      <c r="AC405" t="s">
        <v>109</v>
      </c>
      <c r="AD405" t="s">
        <v>109</v>
      </c>
      <c r="AE405" s="67" t="s">
        <v>321</v>
      </c>
    </row>
    <row r="406" spans="1:32">
      <c r="A406" s="1" t="s">
        <v>319</v>
      </c>
      <c r="C406" s="3">
        <v>11514033</v>
      </c>
      <c r="D406" s="3">
        <v>1033425</v>
      </c>
      <c r="E406" s="3">
        <v>135715</v>
      </c>
      <c r="F406" s="3">
        <v>8774</v>
      </c>
      <c r="G406" s="3">
        <v>76554</v>
      </c>
      <c r="H406">
        <v>0</v>
      </c>
      <c r="I406" s="3">
        <v>39413</v>
      </c>
      <c r="J406" s="3">
        <v>0</v>
      </c>
      <c r="K406" s="3">
        <v>0</v>
      </c>
      <c r="L406" s="3">
        <v>0</v>
      </c>
      <c r="M406" s="3">
        <v>11514032</v>
      </c>
      <c r="N406" s="3">
        <v>5525000</v>
      </c>
      <c r="O406" s="3">
        <v>1023192</v>
      </c>
      <c r="P406" s="3">
        <v>570151</v>
      </c>
      <c r="Q406" s="3">
        <v>553040</v>
      </c>
      <c r="S406">
        <v>10</v>
      </c>
      <c r="T406">
        <v>10</v>
      </c>
      <c r="U406">
        <v>65340</v>
      </c>
      <c r="V406">
        <v>38</v>
      </c>
      <c r="W406" t="s">
        <v>322</v>
      </c>
      <c r="X406" t="s">
        <v>323</v>
      </c>
      <c r="Y406">
        <v>4500</v>
      </c>
      <c r="Z406" t="s">
        <v>320</v>
      </c>
      <c r="AA406" t="s">
        <v>285</v>
      </c>
      <c r="AB406" t="s">
        <v>108</v>
      </c>
      <c r="AC406" t="s">
        <v>109</v>
      </c>
      <c r="AD406" t="s">
        <v>109</v>
      </c>
      <c r="AE406" s="67" t="s">
        <v>321</v>
      </c>
    </row>
    <row r="407" spans="1:32">
      <c r="A407" s="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32">
      <c r="A408" s="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32">
      <c r="A409" s="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32">
      <c r="A410" s="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32">
      <c r="A411" s="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32">
      <c r="A412" s="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32">
      <c r="A413" s="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32">
      <c r="A414" s="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32">
      <c r="A415" s="1"/>
      <c r="C415" s="3"/>
      <c r="D415" s="3"/>
    </row>
    <row r="416" spans="1:32">
      <c r="A416" s="1"/>
      <c r="C416" s="3"/>
      <c r="D416" s="3"/>
    </row>
    <row r="417" spans="1:33" s="51" customFormat="1" ht="15.95">
      <c r="A417" s="80" t="s">
        <v>324</v>
      </c>
      <c r="B417" s="51" t="s">
        <v>325</v>
      </c>
      <c r="C417" s="34">
        <v>8033000</v>
      </c>
      <c r="D417" s="34">
        <f>(3288587/12)+(1670405/12)</f>
        <v>413249.33333333337</v>
      </c>
      <c r="E417" s="34">
        <f>2072495/12</f>
        <v>172707.91666666666</v>
      </c>
      <c r="F417" s="34">
        <f>212505/12</f>
        <v>17708.75</v>
      </c>
      <c r="G417" s="34">
        <f>3288587/12</f>
        <v>274048.91666666669</v>
      </c>
      <c r="H417" s="34"/>
      <c r="I417" s="34">
        <f>1670405/12</f>
        <v>139200.41666666666</v>
      </c>
      <c r="J417" s="34"/>
      <c r="K417" s="34"/>
      <c r="L417" s="34"/>
      <c r="M417" s="34"/>
      <c r="N417" s="34"/>
      <c r="O417" s="34"/>
      <c r="P417" s="34"/>
      <c r="Q417" s="34"/>
      <c r="R417" s="34"/>
      <c r="U417" s="34"/>
      <c r="V417" s="34"/>
      <c r="W417" s="34"/>
      <c r="X417" s="34"/>
      <c r="Y417" s="34"/>
      <c r="Z417" s="34"/>
      <c r="AB417" s="34"/>
      <c r="AC417" s="34"/>
      <c r="AD417" s="34"/>
    </row>
    <row r="418" spans="1:33" s="51" customFormat="1">
      <c r="A418" s="50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U418" s="34"/>
      <c r="V418" s="34"/>
      <c r="W418" s="34"/>
      <c r="X418" s="34"/>
      <c r="Y418" s="34"/>
      <c r="Z418" s="34"/>
      <c r="AB418" s="34"/>
      <c r="AC418" s="34"/>
      <c r="AD418" s="34"/>
    </row>
    <row r="419" spans="1:33">
      <c r="A419" s="27"/>
      <c r="B419" s="29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9"/>
      <c r="T419" s="29"/>
      <c r="U419" s="28"/>
      <c r="V419" s="28"/>
      <c r="W419" s="28"/>
      <c r="X419" s="28"/>
      <c r="Y419" s="28"/>
      <c r="Z419" s="28"/>
      <c r="AA419" s="29"/>
      <c r="AB419" s="28"/>
      <c r="AC419" s="28"/>
      <c r="AD419" s="28"/>
      <c r="AE419" s="29"/>
      <c r="AF419" s="29"/>
    </row>
    <row r="420" spans="1:33" ht="15.95">
      <c r="A420" s="2" t="s">
        <v>326</v>
      </c>
      <c r="B420" t="s">
        <v>327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t="s">
        <v>282</v>
      </c>
      <c r="S420">
        <v>8</v>
      </c>
      <c r="T420">
        <v>14</v>
      </c>
      <c r="U420" s="26">
        <v>217800</v>
      </c>
      <c r="V420">
        <v>2</v>
      </c>
      <c r="W420" t="s">
        <v>328</v>
      </c>
      <c r="X420">
        <v>0</v>
      </c>
      <c r="Y420">
        <v>6500</v>
      </c>
      <c r="Z420" t="s">
        <v>329</v>
      </c>
      <c r="AA420" t="s">
        <v>330</v>
      </c>
      <c r="AB420">
        <v>-40</v>
      </c>
      <c r="AC420" t="s">
        <v>109</v>
      </c>
      <c r="AD420" t="s">
        <v>44</v>
      </c>
      <c r="AE420" s="58" t="s">
        <v>331</v>
      </c>
      <c r="AG420">
        <v>3</v>
      </c>
    </row>
    <row r="421" spans="1:33" ht="15.95">
      <c r="A421" s="2" t="s">
        <v>326</v>
      </c>
      <c r="B421" t="s">
        <v>289</v>
      </c>
      <c r="C421" s="3">
        <v>9829933</v>
      </c>
      <c r="D421" s="3">
        <v>1292865</v>
      </c>
      <c r="E421" s="3">
        <v>214168</v>
      </c>
      <c r="F421" s="3">
        <v>123100</v>
      </c>
      <c r="G421" s="3">
        <v>169949</v>
      </c>
      <c r="H421" s="3">
        <v>0</v>
      </c>
      <c r="I421" s="3"/>
      <c r="J421" s="3">
        <v>0</v>
      </c>
      <c r="K421" s="3">
        <v>0</v>
      </c>
      <c r="L421" s="3">
        <v>0</v>
      </c>
      <c r="M421" s="3">
        <v>0</v>
      </c>
      <c r="N421" s="3">
        <v>4628000</v>
      </c>
      <c r="O421" s="3">
        <v>1280064</v>
      </c>
      <c r="P421" s="3">
        <v>109644</v>
      </c>
      <c r="Q421" s="3">
        <v>185419</v>
      </c>
      <c r="R421" t="s">
        <v>282</v>
      </c>
      <c r="S421">
        <v>8</v>
      </c>
      <c r="T421">
        <v>14</v>
      </c>
      <c r="U421" s="26">
        <v>217800</v>
      </c>
      <c r="V421">
        <v>2</v>
      </c>
      <c r="W421" t="s">
        <v>328</v>
      </c>
      <c r="X421">
        <v>0</v>
      </c>
      <c r="Y421">
        <v>6500</v>
      </c>
      <c r="Z421" t="s">
        <v>329</v>
      </c>
      <c r="AA421" t="s">
        <v>330</v>
      </c>
      <c r="AB421">
        <v>-40</v>
      </c>
      <c r="AC421" t="s">
        <v>109</v>
      </c>
      <c r="AD421" t="s">
        <v>44</v>
      </c>
      <c r="AE421" s="58" t="s">
        <v>331</v>
      </c>
    </row>
    <row r="422" spans="1:33"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4" spans="1:33" s="51" customFormat="1">
      <c r="A424" s="50" t="s">
        <v>332</v>
      </c>
      <c r="B424" s="51" t="s">
        <v>113</v>
      </c>
      <c r="C424" s="34"/>
      <c r="D424" s="34"/>
      <c r="E424" s="34">
        <v>136117</v>
      </c>
      <c r="F424" s="34">
        <v>45873</v>
      </c>
      <c r="G424" s="34">
        <v>142318</v>
      </c>
      <c r="H424" s="34">
        <v>71116</v>
      </c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U424" s="34"/>
      <c r="V424" s="34"/>
      <c r="W424" s="34"/>
      <c r="X424" s="34"/>
      <c r="Y424" s="34"/>
      <c r="Z424" s="34"/>
      <c r="AB424" s="34"/>
      <c r="AC424" s="34"/>
      <c r="AD424" s="34"/>
    </row>
    <row r="425" spans="1:33">
      <c r="A425" s="27"/>
      <c r="B425" s="29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9"/>
      <c r="T425" s="29"/>
      <c r="U425" s="28"/>
      <c r="V425" s="28"/>
      <c r="W425" s="28"/>
      <c r="X425" s="28"/>
      <c r="Y425" s="28"/>
      <c r="Z425" s="28"/>
      <c r="AA425" s="29"/>
      <c r="AB425" s="28"/>
      <c r="AC425" s="28"/>
      <c r="AD425" s="28"/>
      <c r="AE425" s="29"/>
      <c r="AF425" s="29"/>
    </row>
    <row r="426" spans="1:33">
      <c r="A426" t="s">
        <v>333</v>
      </c>
      <c r="B426" t="s">
        <v>289</v>
      </c>
      <c r="C426" s="3">
        <v>4311581</v>
      </c>
      <c r="D426" s="3">
        <v>659026</v>
      </c>
      <c r="E426" s="3">
        <v>116358</v>
      </c>
      <c r="F426" s="3">
        <v>15351</v>
      </c>
      <c r="G426" s="3">
        <v>10981</v>
      </c>
      <c r="H426" s="3">
        <v>0</v>
      </c>
      <c r="I426" s="3"/>
      <c r="J426" s="3">
        <v>0</v>
      </c>
      <c r="K426" s="3">
        <v>0</v>
      </c>
      <c r="L426" s="3">
        <v>0</v>
      </c>
      <c r="M426" s="3">
        <v>392040</v>
      </c>
      <c r="N426" s="3">
        <v>2875000</v>
      </c>
      <c r="O426" s="3">
        <v>652500</v>
      </c>
      <c r="P426" s="3">
        <v>418272</v>
      </c>
      <c r="Q426" s="3">
        <v>234227</v>
      </c>
      <c r="R426" t="s">
        <v>282</v>
      </c>
      <c r="S426">
        <v>5</v>
      </c>
      <c r="T426">
        <v>10</v>
      </c>
      <c r="U426">
        <v>196020</v>
      </c>
      <c r="V426">
        <v>2</v>
      </c>
      <c r="X426" s="3" t="s">
        <v>334</v>
      </c>
      <c r="Y426">
        <v>5000</v>
      </c>
      <c r="Z426" t="s">
        <v>335</v>
      </c>
      <c r="AC426" t="s">
        <v>109</v>
      </c>
      <c r="AD426" t="s">
        <v>109</v>
      </c>
      <c r="AE426" t="s">
        <v>336</v>
      </c>
    </row>
    <row r="427" spans="1:33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33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30" spans="1:33" s="51" customFormat="1">
      <c r="A430" s="58" t="s">
        <v>337</v>
      </c>
      <c r="B430" s="51" t="s">
        <v>113</v>
      </c>
      <c r="C430" s="34"/>
      <c r="D430" s="34"/>
      <c r="E430" s="34">
        <v>85869</v>
      </c>
      <c r="F430" s="34">
        <v>60705</v>
      </c>
      <c r="G430" s="34">
        <v>158332</v>
      </c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51">
        <v>5</v>
      </c>
      <c r="T430" s="51">
        <v>10</v>
      </c>
      <c r="U430" s="34"/>
      <c r="V430" s="34"/>
      <c r="W430" s="34"/>
      <c r="X430" s="34">
        <v>5000</v>
      </c>
      <c r="Y430" s="34">
        <v>5000</v>
      </c>
      <c r="Z430" s="34" t="s">
        <v>335</v>
      </c>
      <c r="AB430" s="34"/>
      <c r="AC430" s="34"/>
      <c r="AD430" s="34" t="s">
        <v>44</v>
      </c>
      <c r="AG430" s="51">
        <v>3</v>
      </c>
    </row>
    <row r="431" spans="1:33">
      <c r="A431" s="27"/>
      <c r="B431" s="29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9"/>
      <c r="T431" s="29"/>
      <c r="U431" s="28"/>
      <c r="V431" s="28"/>
      <c r="W431" s="28"/>
      <c r="X431" s="28"/>
      <c r="Y431" s="28"/>
      <c r="Z431" s="28"/>
      <c r="AA431" s="29"/>
      <c r="AB431" s="28"/>
      <c r="AC431" s="28"/>
      <c r="AD431" s="28"/>
      <c r="AE431" s="29"/>
      <c r="AF431" s="29"/>
    </row>
    <row r="432" spans="1:33">
      <c r="A432" t="s">
        <v>338</v>
      </c>
      <c r="B432" t="s">
        <v>339</v>
      </c>
      <c r="C432" s="3">
        <v>5605609</v>
      </c>
      <c r="D432" s="3">
        <v>408695</v>
      </c>
      <c r="E432" s="3">
        <v>66151</v>
      </c>
      <c r="F432" s="3">
        <v>1189</v>
      </c>
      <c r="G432" s="3">
        <v>208728</v>
      </c>
      <c r="H432">
        <v>0</v>
      </c>
      <c r="I432">
        <v>0</v>
      </c>
      <c r="J432">
        <v>0</v>
      </c>
      <c r="K432">
        <v>0</v>
      </c>
      <c r="L432">
        <v>0</v>
      </c>
      <c r="M432" s="3">
        <v>1860480</v>
      </c>
      <c r="N432" s="3">
        <v>1480000</v>
      </c>
      <c r="O432" t="s">
        <v>340</v>
      </c>
      <c r="P432" s="3">
        <v>259793</v>
      </c>
      <c r="Q432" s="3">
        <v>144855</v>
      </c>
      <c r="R432" t="s">
        <v>341</v>
      </c>
      <c r="S432">
        <v>6</v>
      </c>
      <c r="T432">
        <v>0</v>
      </c>
      <c r="U432" s="3">
        <v>19380</v>
      </c>
      <c r="V432">
        <v>96</v>
      </c>
      <c r="W432">
        <v>0</v>
      </c>
      <c r="X432">
        <v>0</v>
      </c>
      <c r="Y432">
        <v>6000</v>
      </c>
      <c r="Z432" t="s">
        <v>342</v>
      </c>
      <c r="AA432" t="s">
        <v>330</v>
      </c>
      <c r="AB432" t="s">
        <v>343</v>
      </c>
      <c r="AC432" t="s">
        <v>109</v>
      </c>
      <c r="AD432" t="s">
        <v>109</v>
      </c>
      <c r="AE432" t="s">
        <v>344</v>
      </c>
      <c r="AF432" t="s">
        <v>345</v>
      </c>
      <c r="AG432">
        <v>1855800</v>
      </c>
    </row>
    <row r="433" spans="1:32">
      <c r="C433">
        <v>9423393</v>
      </c>
      <c r="D433">
        <v>513599</v>
      </c>
      <c r="E433">
        <v>86348</v>
      </c>
      <c r="F433">
        <v>1189</v>
      </c>
      <c r="G433">
        <v>254224</v>
      </c>
      <c r="M433">
        <v>1841100</v>
      </c>
      <c r="N433">
        <v>3348000</v>
      </c>
      <c r="O433">
        <v>508514</v>
      </c>
      <c r="P433">
        <v>401452</v>
      </c>
      <c r="Q433">
        <v>107061</v>
      </c>
      <c r="R433" t="s">
        <v>346</v>
      </c>
    </row>
    <row r="437" spans="1:32">
      <c r="A437" s="27"/>
      <c r="B437" s="29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 t="s">
        <v>347</v>
      </c>
      <c r="S437" s="29"/>
      <c r="T437" s="29"/>
      <c r="U437" s="28"/>
      <c r="V437" s="28"/>
      <c r="W437" s="28"/>
      <c r="X437" s="28"/>
      <c r="Y437" s="28"/>
      <c r="Z437" s="28"/>
      <c r="AA437" s="29"/>
      <c r="AB437" s="28"/>
      <c r="AC437" s="28"/>
      <c r="AD437" s="28"/>
      <c r="AE437" s="29"/>
      <c r="AF437" s="29"/>
    </row>
    <row r="438" spans="1:32">
      <c r="A438" t="s">
        <v>348</v>
      </c>
      <c r="C438">
        <v>18489855</v>
      </c>
      <c r="D438">
        <v>371937</v>
      </c>
      <c r="E438">
        <v>45353</v>
      </c>
      <c r="F438">
        <v>1636</v>
      </c>
      <c r="G438">
        <v>230656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8250800</v>
      </c>
      <c r="N438">
        <v>1620000</v>
      </c>
      <c r="O438">
        <v>368254</v>
      </c>
      <c r="P438">
        <v>202432</v>
      </c>
      <c r="Q438">
        <v>165821</v>
      </c>
      <c r="R438" t="s">
        <v>349</v>
      </c>
      <c r="S438">
        <v>4</v>
      </c>
      <c r="T438">
        <v>0</v>
      </c>
      <c r="U438" s="3">
        <v>20627</v>
      </c>
      <c r="V438" s="3">
        <v>400</v>
      </c>
      <c r="W438">
        <v>0</v>
      </c>
      <c r="X438">
        <v>0</v>
      </c>
      <c r="Y438">
        <v>4000</v>
      </c>
      <c r="Z438" t="s">
        <v>342</v>
      </c>
      <c r="AA438" t="s">
        <v>350</v>
      </c>
      <c r="AB438" t="s">
        <v>351</v>
      </c>
      <c r="AC438" t="s">
        <v>109</v>
      </c>
      <c r="AD438" t="s">
        <v>109</v>
      </c>
      <c r="AE438" t="s">
        <v>352</v>
      </c>
      <c r="AF438" t="s">
        <v>353</v>
      </c>
    </row>
    <row r="443" spans="1:32">
      <c r="A443" s="27"/>
      <c r="B443" s="29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9"/>
      <c r="T443" s="29"/>
      <c r="U443" s="28"/>
      <c r="V443" s="28"/>
      <c r="W443" s="28"/>
      <c r="X443" s="28"/>
      <c r="Y443" s="28"/>
      <c r="Z443" s="28"/>
      <c r="AA443" s="29"/>
      <c r="AB443" s="28"/>
      <c r="AC443" s="28"/>
      <c r="AD443" s="28"/>
      <c r="AE443" s="29"/>
      <c r="AF443" s="29"/>
    </row>
    <row r="444" spans="1:32">
      <c r="A444" t="s">
        <v>354</v>
      </c>
      <c r="C444">
        <v>4708249</v>
      </c>
      <c r="D444">
        <v>385061</v>
      </c>
      <c r="E444">
        <v>44983</v>
      </c>
      <c r="F444">
        <v>1368</v>
      </c>
      <c r="G444">
        <v>137789</v>
      </c>
      <c r="M444">
        <v>1596000</v>
      </c>
      <c r="N444">
        <v>1135000</v>
      </c>
      <c r="O444">
        <v>381248</v>
      </c>
      <c r="P444">
        <v>159115</v>
      </c>
      <c r="Q444">
        <v>222133</v>
      </c>
      <c r="R444" t="s">
        <v>349</v>
      </c>
      <c r="S444">
        <v>4</v>
      </c>
      <c r="T444">
        <v>0</v>
      </c>
      <c r="U444">
        <v>19000</v>
      </c>
      <c r="V444">
        <v>84</v>
      </c>
      <c r="W444">
        <v>0</v>
      </c>
      <c r="X444" t="s">
        <v>355</v>
      </c>
      <c r="Y444">
        <v>1500</v>
      </c>
      <c r="Z444" t="s">
        <v>342</v>
      </c>
      <c r="AA444" t="s">
        <v>356</v>
      </c>
      <c r="AB444" t="s">
        <v>343</v>
      </c>
      <c r="AC444" t="s">
        <v>109</v>
      </c>
      <c r="AD444" t="s">
        <v>109</v>
      </c>
      <c r="AE444" t="s">
        <v>357</v>
      </c>
      <c r="AF444" t="s">
        <v>358</v>
      </c>
    </row>
    <row r="449" spans="1:32">
      <c r="A449" s="27"/>
      <c r="B449" s="29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9"/>
      <c r="T449" s="29"/>
      <c r="U449" s="28"/>
      <c r="V449" s="28"/>
      <c r="W449" s="28"/>
      <c r="X449" s="28"/>
      <c r="Y449" s="28"/>
      <c r="Z449" s="28"/>
      <c r="AA449" s="29"/>
      <c r="AB449" s="28"/>
      <c r="AC449" s="28"/>
      <c r="AD449" s="28"/>
      <c r="AE449" s="29"/>
      <c r="AF449" s="29"/>
    </row>
    <row r="450" spans="1:32">
      <c r="A450" t="s">
        <v>359</v>
      </c>
      <c r="C450">
        <v>1335438</v>
      </c>
      <c r="D450">
        <v>141843</v>
      </c>
      <c r="E450">
        <v>23592</v>
      </c>
      <c r="F450">
        <v>1546</v>
      </c>
      <c r="G450">
        <v>66089</v>
      </c>
      <c r="M450">
        <v>80000</v>
      </c>
      <c r="N450">
        <v>1035000</v>
      </c>
      <c r="O450">
        <v>140438</v>
      </c>
      <c r="P450">
        <v>109777</v>
      </c>
      <c r="Q450">
        <v>30660</v>
      </c>
      <c r="R450" t="s">
        <v>349</v>
      </c>
      <c r="S450">
        <v>2</v>
      </c>
      <c r="T450">
        <v>0</v>
      </c>
      <c r="U450">
        <v>10000</v>
      </c>
      <c r="V450">
        <v>8</v>
      </c>
      <c r="W450">
        <v>0</v>
      </c>
      <c r="X450">
        <v>0</v>
      </c>
      <c r="Y450">
        <v>2500</v>
      </c>
      <c r="Z450" t="s">
        <v>342</v>
      </c>
      <c r="AA450" t="s">
        <v>360</v>
      </c>
      <c r="AB450" t="s">
        <v>361</v>
      </c>
      <c r="AC450" t="s">
        <v>109</v>
      </c>
      <c r="AD450" t="s">
        <v>109</v>
      </c>
      <c r="AE450" t="s">
        <v>362</v>
      </c>
    </row>
    <row r="455" spans="1:32">
      <c r="A455" s="27"/>
      <c r="B455" s="29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9"/>
      <c r="T455" s="29"/>
      <c r="U455" s="28"/>
      <c r="V455" s="28"/>
      <c r="W455" s="28"/>
      <c r="X455" s="28"/>
      <c r="Y455" s="28"/>
      <c r="Z455" s="28"/>
      <c r="AA455" s="29"/>
      <c r="AB455" s="28"/>
      <c r="AC455" s="28"/>
      <c r="AD455" s="28"/>
      <c r="AE455" s="29"/>
      <c r="AF455" s="29"/>
    </row>
    <row r="456" spans="1:32">
      <c r="A456" t="s">
        <v>363</v>
      </c>
      <c r="S456">
        <v>4</v>
      </c>
      <c r="T456">
        <v>4</v>
      </c>
      <c r="Y456">
        <v>7800</v>
      </c>
      <c r="Z456" t="s">
        <v>364</v>
      </c>
      <c r="AD456">
        <v>18</v>
      </c>
    </row>
    <row r="464" spans="1:32">
      <c r="A464" t="s">
        <v>365</v>
      </c>
      <c r="S464">
        <v>5</v>
      </c>
      <c r="T464">
        <v>4</v>
      </c>
      <c r="U464">
        <v>34500</v>
      </c>
      <c r="Y464">
        <v>5500</v>
      </c>
      <c r="Z464" t="s">
        <v>366</v>
      </c>
      <c r="AC464" t="s">
        <v>109</v>
      </c>
      <c r="AD464" t="s">
        <v>109</v>
      </c>
      <c r="AE464" t="s">
        <v>367</v>
      </c>
    </row>
    <row r="468" spans="1:32">
      <c r="A468" t="s">
        <v>368</v>
      </c>
      <c r="B468" t="s">
        <v>369</v>
      </c>
      <c r="E468">
        <v>101945</v>
      </c>
      <c r="F468">
        <v>3920</v>
      </c>
      <c r="G468">
        <v>145842</v>
      </c>
    </row>
    <row r="474" spans="1:32">
      <c r="A474" t="s">
        <v>370</v>
      </c>
      <c r="S474">
        <v>5</v>
      </c>
      <c r="T474">
        <v>4</v>
      </c>
      <c r="U474" t="s">
        <v>371</v>
      </c>
      <c r="Y474">
        <v>6760</v>
      </c>
      <c r="Z474" t="s">
        <v>372</v>
      </c>
      <c r="AD474" t="s">
        <v>109</v>
      </c>
      <c r="AE474" t="s">
        <v>373</v>
      </c>
      <c r="AF474" t="s">
        <v>374</v>
      </c>
    </row>
    <row r="482" spans="1:33" ht="32.1">
      <c r="A482" t="s">
        <v>375</v>
      </c>
      <c r="C482">
        <v>8646493</v>
      </c>
      <c r="D482">
        <v>1154000</v>
      </c>
      <c r="G482">
        <v>140000</v>
      </c>
      <c r="S482">
        <v>7</v>
      </c>
      <c r="T482">
        <v>18</v>
      </c>
      <c r="U482" t="s">
        <v>376</v>
      </c>
      <c r="Y482">
        <v>6000</v>
      </c>
      <c r="Z482" t="s">
        <v>377</v>
      </c>
      <c r="AC482" t="s">
        <v>378</v>
      </c>
      <c r="AE482" s="2" t="s">
        <v>379</v>
      </c>
      <c r="AF482" s="2" t="s">
        <v>380</v>
      </c>
      <c r="AG482">
        <v>6</v>
      </c>
    </row>
    <row r="487" spans="1:33">
      <c r="A487" t="s">
        <v>381</v>
      </c>
      <c r="B487" t="s">
        <v>113</v>
      </c>
      <c r="E487">
        <v>343000</v>
      </c>
      <c r="G487">
        <v>148000</v>
      </c>
      <c r="I487">
        <v>105000</v>
      </c>
    </row>
    <row r="492" spans="1:33">
      <c r="A492" t="s">
        <v>382</v>
      </c>
      <c r="R492" t="s">
        <v>341</v>
      </c>
      <c r="W492">
        <v>1000</v>
      </c>
      <c r="Y492">
        <v>7500</v>
      </c>
      <c r="Z492" t="s">
        <v>383</v>
      </c>
      <c r="AE492" t="s">
        <v>384</v>
      </c>
    </row>
    <row r="496" spans="1:33">
      <c r="A496" s="58" t="s">
        <v>385</v>
      </c>
      <c r="B496" t="s">
        <v>113</v>
      </c>
      <c r="E496">
        <v>254000</v>
      </c>
      <c r="G496">
        <v>30000</v>
      </c>
      <c r="S496">
        <v>10</v>
      </c>
      <c r="T496">
        <v>20</v>
      </c>
      <c r="U496" t="s">
        <v>386</v>
      </c>
      <c r="AG496">
        <v>5</v>
      </c>
    </row>
    <row r="503" spans="1:38" ht="32.1">
      <c r="A503" t="s">
        <v>387</v>
      </c>
      <c r="B503" t="s">
        <v>388</v>
      </c>
      <c r="C503">
        <v>3873521</v>
      </c>
      <c r="D503">
        <v>374517</v>
      </c>
      <c r="E503">
        <v>207108</v>
      </c>
      <c r="F503">
        <v>16738</v>
      </c>
      <c r="G503">
        <v>81536</v>
      </c>
      <c r="M503">
        <v>2082712</v>
      </c>
      <c r="N503">
        <v>1649491</v>
      </c>
      <c r="O503">
        <v>370809</v>
      </c>
      <c r="P503">
        <v>306361</v>
      </c>
      <c r="Q503">
        <v>64447</v>
      </c>
      <c r="R503" t="s">
        <v>40</v>
      </c>
      <c r="S503">
        <v>6</v>
      </c>
      <c r="T503">
        <v>12</v>
      </c>
      <c r="U503">
        <v>1.25</v>
      </c>
      <c r="V503">
        <v>38.25</v>
      </c>
      <c r="Y503">
        <v>3000</v>
      </c>
      <c r="Z503" t="s">
        <v>389</v>
      </c>
      <c r="AA503">
        <v>2</v>
      </c>
      <c r="AB503">
        <v>50</v>
      </c>
      <c r="AC503" t="s">
        <v>378</v>
      </c>
      <c r="AD503" t="s">
        <v>390</v>
      </c>
      <c r="AE503" s="2" t="s">
        <v>391</v>
      </c>
      <c r="AH503">
        <v>23344</v>
      </c>
      <c r="AI503">
        <v>68777</v>
      </c>
      <c r="AJ503">
        <v>8501</v>
      </c>
      <c r="AK503">
        <v>34</v>
      </c>
      <c r="AL503" s="74" t="s">
        <v>392</v>
      </c>
    </row>
    <row r="513" spans="1:31" ht="32.1">
      <c r="A513" t="s">
        <v>393</v>
      </c>
      <c r="B513" s="2" t="s">
        <v>394</v>
      </c>
      <c r="C513" s="3">
        <v>3348941</v>
      </c>
      <c r="D513" s="3">
        <v>755798</v>
      </c>
      <c r="E513" s="3">
        <v>182165</v>
      </c>
      <c r="F513" s="3">
        <v>24875</v>
      </c>
      <c r="G513" s="3">
        <v>117104</v>
      </c>
      <c r="I513" s="3">
        <v>12987</v>
      </c>
      <c r="M513" s="3">
        <v>524810</v>
      </c>
      <c r="N513" s="3">
        <v>2331679</v>
      </c>
      <c r="O513" s="3">
        <v>492451</v>
      </c>
      <c r="P513" s="3">
        <v>319816</v>
      </c>
      <c r="Q513" s="3">
        <v>172635</v>
      </c>
      <c r="R513" t="s">
        <v>40</v>
      </c>
      <c r="S513">
        <v>5</v>
      </c>
      <c r="T513">
        <v>10</v>
      </c>
      <c r="U513" s="3">
        <v>69696</v>
      </c>
      <c r="V513">
        <v>7.53</v>
      </c>
      <c r="W513">
        <v>300</v>
      </c>
      <c r="X513" t="s">
        <v>395</v>
      </c>
      <c r="Y513">
        <v>5000</v>
      </c>
      <c r="Z513" t="s">
        <v>396</v>
      </c>
      <c r="AA513">
        <v>2</v>
      </c>
      <c r="AB513">
        <v>50</v>
      </c>
      <c r="AD513" t="s">
        <v>378</v>
      </c>
      <c r="AE513" s="2" t="s">
        <v>397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8795-9D76-443C-819F-65BD5A4A03AE}">
  <dimension ref="A1:F11"/>
  <sheetViews>
    <sheetView workbookViewId="0">
      <selection activeCell="F19" sqref="F19"/>
    </sheetView>
  </sheetViews>
  <sheetFormatPr defaultColWidth="8.85546875" defaultRowHeight="15"/>
  <cols>
    <col min="3" max="3" width="13.42578125" bestFit="1" customWidth="1"/>
    <col min="4" max="4" width="9.7109375" bestFit="1" customWidth="1"/>
    <col min="5" max="5" width="13.140625" customWidth="1"/>
    <col min="6" max="6" width="52" customWidth="1"/>
  </cols>
  <sheetData>
    <row r="1" spans="1:6">
      <c r="A1" t="s">
        <v>398</v>
      </c>
      <c r="B1" t="s">
        <v>1</v>
      </c>
      <c r="C1" t="s">
        <v>399</v>
      </c>
      <c r="D1" t="s">
        <v>400</v>
      </c>
      <c r="E1" t="s">
        <v>401</v>
      </c>
      <c r="F1" t="s">
        <v>402</v>
      </c>
    </row>
    <row r="2" spans="1:6" ht="15.95">
      <c r="A2" s="63" t="s">
        <v>403</v>
      </c>
      <c r="B2">
        <v>1</v>
      </c>
      <c r="C2">
        <v>1769</v>
      </c>
      <c r="D2">
        <v>2</v>
      </c>
      <c r="E2">
        <v>557566</v>
      </c>
      <c r="F2" s="65" t="s">
        <v>404</v>
      </c>
    </row>
    <row r="5" spans="1:6">
      <c r="A5" s="33" t="s">
        <v>405</v>
      </c>
      <c r="E5">
        <v>400000</v>
      </c>
    </row>
    <row r="8" spans="1:6">
      <c r="A8" t="s">
        <v>406</v>
      </c>
      <c r="B8">
        <v>1</v>
      </c>
      <c r="C8">
        <v>5227</v>
      </c>
      <c r="D8">
        <v>6</v>
      </c>
      <c r="E8">
        <v>400000</v>
      </c>
      <c r="F8" t="s">
        <v>407</v>
      </c>
    </row>
    <row r="11" spans="1:6">
      <c r="A11" t="s">
        <v>405</v>
      </c>
      <c r="E11">
        <v>238000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CC6D-26D0-47ED-9DA0-572E2A5E481A}">
  <dimension ref="A1:M122"/>
  <sheetViews>
    <sheetView workbookViewId="0">
      <pane ySplit="1" topLeftCell="J14" activePane="bottomLeft" state="frozen"/>
      <selection pane="bottomLeft" activeCell="J14" sqref="J14"/>
    </sheetView>
  </sheetViews>
  <sheetFormatPr defaultColWidth="8.85546875" defaultRowHeight="15"/>
  <cols>
    <col min="1" max="1" width="26.42578125" customWidth="1"/>
    <col min="2" max="2" width="12.140625" customWidth="1"/>
    <col min="3" max="3" width="10.7109375" customWidth="1"/>
    <col min="4" max="4" width="11.7109375" customWidth="1"/>
    <col min="5" max="5" width="10.28515625" customWidth="1"/>
    <col min="6" max="6" width="18.7109375" customWidth="1"/>
    <col min="8" max="8" width="10.85546875" customWidth="1"/>
    <col min="9" max="9" width="15.85546875" customWidth="1"/>
    <col min="10" max="10" width="72.7109375" customWidth="1"/>
    <col min="12" max="12" width="13.42578125" customWidth="1"/>
    <col min="13" max="13" width="160" customWidth="1"/>
  </cols>
  <sheetData>
    <row r="1" spans="1:13">
      <c r="A1" s="64" t="s">
        <v>398</v>
      </c>
      <c r="B1" s="64" t="s">
        <v>408</v>
      </c>
      <c r="C1" s="64" t="s">
        <v>409</v>
      </c>
      <c r="D1" s="64" t="s">
        <v>410</v>
      </c>
      <c r="E1" s="64" t="s">
        <v>411</v>
      </c>
      <c r="F1" s="64" t="s">
        <v>412</v>
      </c>
      <c r="G1" s="64" t="s">
        <v>413</v>
      </c>
      <c r="H1" s="64" t="s">
        <v>414</v>
      </c>
      <c r="I1" s="64" t="s">
        <v>415</v>
      </c>
      <c r="J1" s="64" t="s">
        <v>402</v>
      </c>
      <c r="K1" s="64" t="s">
        <v>416</v>
      </c>
      <c r="L1" s="64" t="s">
        <v>417</v>
      </c>
      <c r="M1" s="64" t="s">
        <v>418</v>
      </c>
    </row>
    <row r="2" spans="1:13">
      <c r="A2" t="s">
        <v>419</v>
      </c>
      <c r="B2" t="s">
        <v>39</v>
      </c>
      <c r="C2">
        <v>1262443</v>
      </c>
      <c r="D2">
        <v>636254</v>
      </c>
      <c r="E2">
        <v>578413</v>
      </c>
      <c r="F2">
        <v>428749</v>
      </c>
      <c r="G2">
        <v>149664</v>
      </c>
      <c r="I2">
        <v>504030</v>
      </c>
      <c r="J2" t="s">
        <v>420</v>
      </c>
      <c r="K2">
        <v>6000</v>
      </c>
      <c r="L2" t="s">
        <v>421</v>
      </c>
      <c r="M2" s="81" t="s">
        <v>422</v>
      </c>
    </row>
    <row r="3" spans="1:13">
      <c r="M3" s="82"/>
    </row>
    <row r="4" spans="1:13">
      <c r="M4" s="82"/>
    </row>
    <row r="5" spans="1:13">
      <c r="M5" s="82"/>
    </row>
    <row r="6" spans="1:13">
      <c r="M6" s="82"/>
    </row>
    <row r="7" spans="1:13">
      <c r="M7" s="82"/>
    </row>
    <row r="8" spans="1:13">
      <c r="M8" s="82"/>
    </row>
    <row r="9" spans="1:13">
      <c r="M9" s="82"/>
    </row>
    <row r="10" spans="1:13">
      <c r="M10" s="82"/>
    </row>
    <row r="11" spans="1:13">
      <c r="M11" s="82"/>
    </row>
    <row r="14" spans="1:13" ht="409.6">
      <c r="A14" t="s">
        <v>423</v>
      </c>
      <c r="B14" t="s">
        <v>39</v>
      </c>
      <c r="C14">
        <v>1273785</v>
      </c>
      <c r="D14">
        <v>516741</v>
      </c>
      <c r="E14">
        <v>469764</v>
      </c>
      <c r="F14">
        <v>269767</v>
      </c>
      <c r="G14" s="58">
        <v>199997</v>
      </c>
      <c r="I14">
        <v>5040020</v>
      </c>
      <c r="J14" t="s">
        <v>424</v>
      </c>
      <c r="K14">
        <v>10000</v>
      </c>
      <c r="L14" t="s">
        <v>421</v>
      </c>
      <c r="M14" s="2" t="s">
        <v>425</v>
      </c>
    </row>
    <row r="27" spans="1:13">
      <c r="A27" t="s">
        <v>426</v>
      </c>
      <c r="B27" t="s">
        <v>39</v>
      </c>
      <c r="C27" s="58">
        <v>1294900</v>
      </c>
      <c r="D27" s="58">
        <v>550968</v>
      </c>
      <c r="E27" s="58">
        <v>500879</v>
      </c>
      <c r="F27" s="58">
        <v>287619</v>
      </c>
      <c r="G27" s="58">
        <v>213260</v>
      </c>
      <c r="I27" s="58">
        <v>514020</v>
      </c>
      <c r="J27" t="s">
        <v>427</v>
      </c>
      <c r="K27">
        <v>7000</v>
      </c>
      <c r="L27" t="s">
        <v>421</v>
      </c>
      <c r="M27" s="81" t="s">
        <v>428</v>
      </c>
    </row>
    <row r="28" spans="1:13">
      <c r="M28" s="82"/>
    </row>
    <row r="29" spans="1:13">
      <c r="M29" s="82"/>
    </row>
    <row r="30" spans="1:13">
      <c r="M30" s="82"/>
    </row>
    <row r="31" spans="1:13">
      <c r="M31" s="82"/>
    </row>
    <row r="32" spans="1:13">
      <c r="M32" s="82"/>
    </row>
    <row r="33" spans="1:13">
      <c r="M33" s="82"/>
    </row>
    <row r="34" spans="1:13">
      <c r="M34" s="82"/>
    </row>
    <row r="35" spans="1:13">
      <c r="M35" s="82"/>
    </row>
    <row r="36" spans="1:13">
      <c r="M36" s="82"/>
    </row>
    <row r="37" spans="1:13">
      <c r="M37" s="82"/>
    </row>
    <row r="38" spans="1:13">
      <c r="M38" s="82"/>
    </row>
    <row r="39" spans="1:13">
      <c r="M39" s="82"/>
    </row>
    <row r="40" spans="1:13">
      <c r="M40" s="82"/>
    </row>
    <row r="41" spans="1:13">
      <c r="M41" s="82"/>
    </row>
    <row r="42" spans="1:13">
      <c r="M42" s="82"/>
    </row>
    <row r="43" spans="1:13">
      <c r="M43" s="82"/>
    </row>
    <row r="44" spans="1:13">
      <c r="M44" s="82"/>
    </row>
    <row r="45" spans="1:13">
      <c r="A45" t="s">
        <v>429</v>
      </c>
      <c r="B45" t="s">
        <v>39</v>
      </c>
      <c r="C45">
        <v>1429418</v>
      </c>
      <c r="D45">
        <v>533938</v>
      </c>
      <c r="E45">
        <v>485398</v>
      </c>
      <c r="F45">
        <v>278193</v>
      </c>
      <c r="G45">
        <v>207205</v>
      </c>
      <c r="I45">
        <v>504020</v>
      </c>
      <c r="J45" t="s">
        <v>430</v>
      </c>
      <c r="K45">
        <v>11000</v>
      </c>
      <c r="L45" t="s">
        <v>421</v>
      </c>
      <c r="M45" s="81" t="s">
        <v>431</v>
      </c>
    </row>
    <row r="46" spans="1:13">
      <c r="M46" s="82"/>
    </row>
    <row r="47" spans="1:13">
      <c r="M47" s="82"/>
    </row>
    <row r="48" spans="1:13">
      <c r="M48" s="82"/>
    </row>
    <row r="49" spans="13:13">
      <c r="M49" s="82"/>
    </row>
    <row r="50" spans="13:13">
      <c r="M50" s="82"/>
    </row>
    <row r="51" spans="13:13">
      <c r="M51" s="82"/>
    </row>
    <row r="52" spans="13:13">
      <c r="M52" s="82"/>
    </row>
    <row r="53" spans="13:13">
      <c r="M53" s="82"/>
    </row>
    <row r="54" spans="13:13">
      <c r="M54" s="82"/>
    </row>
    <row r="55" spans="13:13">
      <c r="M55" s="82"/>
    </row>
    <row r="56" spans="13:13">
      <c r="M56" s="82"/>
    </row>
    <row r="57" spans="13:13">
      <c r="M57" s="82"/>
    </row>
    <row r="58" spans="13:13">
      <c r="M58" s="82"/>
    </row>
    <row r="59" spans="13:13">
      <c r="M59" s="82"/>
    </row>
    <row r="60" spans="13:13">
      <c r="M60" s="82"/>
    </row>
    <row r="61" spans="13:13">
      <c r="M61" s="82"/>
    </row>
    <row r="62" spans="13:13">
      <c r="M62" s="82"/>
    </row>
    <row r="63" spans="13:13">
      <c r="M63" s="82"/>
    </row>
    <row r="64" spans="13:13">
      <c r="M64" s="82"/>
    </row>
    <row r="65" spans="1:13">
      <c r="M65" s="82"/>
    </row>
    <row r="66" spans="1:13">
      <c r="M66" s="82"/>
    </row>
    <row r="67" spans="1:13">
      <c r="M67" s="82"/>
    </row>
    <row r="68" spans="1:13">
      <c r="M68" s="82"/>
    </row>
    <row r="69" spans="1:13">
      <c r="M69" s="82"/>
    </row>
    <row r="70" spans="1:13">
      <c r="M70" s="82"/>
    </row>
    <row r="71" spans="1:13">
      <c r="M71" s="82"/>
    </row>
    <row r="72" spans="1:13">
      <c r="A72" t="s">
        <v>432</v>
      </c>
      <c r="B72" t="s">
        <v>39</v>
      </c>
      <c r="C72">
        <v>1424418</v>
      </c>
      <c r="D72">
        <v>533938</v>
      </c>
      <c r="E72">
        <v>485398</v>
      </c>
      <c r="F72">
        <v>278193</v>
      </c>
      <c r="G72">
        <v>207205</v>
      </c>
      <c r="J72" t="s">
        <v>433</v>
      </c>
      <c r="K72">
        <v>14500</v>
      </c>
      <c r="L72" t="s">
        <v>421</v>
      </c>
      <c r="M72" s="81" t="s">
        <v>434</v>
      </c>
    </row>
    <row r="73" spans="1:13">
      <c r="M73" s="82"/>
    </row>
    <row r="74" spans="1:13">
      <c r="M74" s="82"/>
    </row>
    <row r="75" spans="1:13">
      <c r="M75" s="82"/>
    </row>
    <row r="76" spans="1:13">
      <c r="M76" s="82"/>
    </row>
    <row r="77" spans="1:13">
      <c r="M77" s="82"/>
    </row>
    <row r="78" spans="1:13">
      <c r="M78" s="82"/>
    </row>
    <row r="79" spans="1:13">
      <c r="M79" s="82"/>
    </row>
    <row r="80" spans="1:13">
      <c r="M80" s="82"/>
    </row>
    <row r="81" spans="1:13">
      <c r="M81" s="82"/>
    </row>
    <row r="82" spans="1:13">
      <c r="M82" s="82"/>
    </row>
    <row r="83" spans="1:13">
      <c r="M83" s="82"/>
    </row>
    <row r="84" spans="1:13">
      <c r="M84" s="82"/>
    </row>
    <row r="85" spans="1:13">
      <c r="M85" s="82"/>
    </row>
    <row r="86" spans="1:13">
      <c r="M86" s="82"/>
    </row>
    <row r="87" spans="1:13">
      <c r="M87" s="82"/>
    </row>
    <row r="88" spans="1:13">
      <c r="M88" s="82"/>
    </row>
    <row r="89" spans="1:13">
      <c r="M89" s="82"/>
    </row>
    <row r="90" spans="1:13">
      <c r="M90" s="82"/>
    </row>
    <row r="91" spans="1:13">
      <c r="M91" s="82"/>
    </row>
    <row r="92" spans="1:13">
      <c r="M92" s="82"/>
    </row>
    <row r="93" spans="1:13">
      <c r="M93" s="82"/>
    </row>
    <row r="94" spans="1:13">
      <c r="M94" s="82"/>
    </row>
    <row r="96" spans="1:13">
      <c r="A96" t="s">
        <v>435</v>
      </c>
      <c r="B96" t="s">
        <v>39</v>
      </c>
      <c r="C96">
        <v>1739438</v>
      </c>
      <c r="D96">
        <v>433145</v>
      </c>
      <c r="E96">
        <v>393768</v>
      </c>
      <c r="F96">
        <v>350430</v>
      </c>
      <c r="G96">
        <v>43338</v>
      </c>
      <c r="H96">
        <v>413820</v>
      </c>
      <c r="I96">
        <v>518030</v>
      </c>
      <c r="J96" t="s">
        <v>436</v>
      </c>
      <c r="K96">
        <v>41382</v>
      </c>
      <c r="L96" t="s">
        <v>421</v>
      </c>
      <c r="M96" s="81" t="s">
        <v>437</v>
      </c>
    </row>
    <row r="97" spans="1:13">
      <c r="M97" s="82"/>
    </row>
    <row r="98" spans="1:13">
      <c r="A98" s="63" t="s">
        <v>113</v>
      </c>
      <c r="B98" s="63"/>
      <c r="C98" s="63"/>
      <c r="D98" s="63"/>
      <c r="E98" s="63">
        <v>353360</v>
      </c>
      <c r="F98" s="63"/>
      <c r="G98" s="63"/>
      <c r="H98" s="63"/>
      <c r="I98" s="63"/>
      <c r="J98" s="63"/>
      <c r="K98" s="63"/>
      <c r="L98" s="63"/>
      <c r="M98" s="82"/>
    </row>
    <row r="99" spans="1:13">
      <c r="M99" s="82"/>
    </row>
    <row r="100" spans="1:13">
      <c r="M100" s="82"/>
    </row>
    <row r="101" spans="1:13">
      <c r="M101" s="82"/>
    </row>
    <row r="102" spans="1:13">
      <c r="M102" s="82"/>
    </row>
    <row r="103" spans="1:13">
      <c r="M103" s="82"/>
    </row>
    <row r="104" spans="1:13">
      <c r="M104" s="82"/>
    </row>
    <row r="105" spans="1:13">
      <c r="M105" s="82"/>
    </row>
    <row r="106" spans="1:13">
      <c r="M106" s="82"/>
    </row>
    <row r="107" spans="1:13">
      <c r="M107" s="82"/>
    </row>
    <row r="108" spans="1:13">
      <c r="M108" s="82"/>
    </row>
    <row r="109" spans="1:13">
      <c r="M109" s="82"/>
    </row>
    <row r="110" spans="1:13">
      <c r="M110" s="82"/>
    </row>
    <row r="111" spans="1:13">
      <c r="M111" s="82"/>
    </row>
    <row r="112" spans="1:13">
      <c r="M112" s="82"/>
    </row>
    <row r="113" spans="13:13">
      <c r="M113" s="82"/>
    </row>
    <row r="114" spans="13:13">
      <c r="M114" s="82"/>
    </row>
    <row r="115" spans="13:13">
      <c r="M115" s="82"/>
    </row>
    <row r="116" spans="13:13">
      <c r="M116" s="82"/>
    </row>
    <row r="117" spans="13:13">
      <c r="M117" s="82"/>
    </row>
    <row r="118" spans="13:13">
      <c r="M118" s="82"/>
    </row>
    <row r="119" spans="13:13">
      <c r="M119" s="82"/>
    </row>
    <row r="120" spans="13:13">
      <c r="M120" s="82"/>
    </row>
    <row r="121" spans="13:13">
      <c r="M121" s="82"/>
    </row>
    <row r="122" spans="13:13">
      <c r="M122" s="82"/>
    </row>
  </sheetData>
  <mergeCells count="5">
    <mergeCell ref="M2:M11"/>
    <mergeCell ref="M27:M44"/>
    <mergeCell ref="M45:M71"/>
    <mergeCell ref="M72:M94"/>
    <mergeCell ref="M96:M1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3655-6358-4E5A-8195-9CD393A64304}">
  <dimension ref="A1:L57"/>
  <sheetViews>
    <sheetView topLeftCell="A3" workbookViewId="0">
      <selection activeCell="L9" sqref="L9"/>
    </sheetView>
  </sheetViews>
  <sheetFormatPr defaultColWidth="8.85546875" defaultRowHeight="15"/>
  <cols>
    <col min="1" max="1" width="36.42578125" bestFit="1" customWidth="1"/>
    <col min="2" max="2" width="13.7109375" customWidth="1"/>
    <col min="3" max="3" width="17.42578125" customWidth="1"/>
    <col min="4" max="4" width="17.7109375" customWidth="1"/>
    <col min="5" max="5" width="23.5703125" customWidth="1"/>
    <col min="6" max="6" width="18.28515625" customWidth="1"/>
    <col min="7" max="7" width="18.42578125" customWidth="1"/>
    <col min="8" max="8" width="24.28515625" bestFit="1" customWidth="1"/>
    <col min="9" max="11" width="18.42578125" bestFit="1" customWidth="1"/>
    <col min="12" max="12" width="36.42578125" customWidth="1"/>
    <col min="13" max="13" width="24.42578125" bestFit="1" customWidth="1"/>
  </cols>
  <sheetData>
    <row r="1" spans="1:12" ht="30.75">
      <c r="A1" s="1" t="s">
        <v>30</v>
      </c>
      <c r="B1" s="1" t="s">
        <v>438</v>
      </c>
      <c r="C1" s="1" t="s">
        <v>439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444</v>
      </c>
      <c r="I1" s="77" t="s">
        <v>445</v>
      </c>
      <c r="J1" s="78" t="s">
        <v>446</v>
      </c>
      <c r="K1" s="79" t="s">
        <v>447</v>
      </c>
    </row>
    <row r="2" spans="1:12">
      <c r="A2" s="2" t="s">
        <v>448</v>
      </c>
      <c r="B2">
        <v>9</v>
      </c>
      <c r="C2">
        <v>3</v>
      </c>
      <c r="D2">
        <v>1046087</v>
      </c>
      <c r="E2">
        <v>657481</v>
      </c>
      <c r="F2">
        <v>1628568</v>
      </c>
      <c r="G2">
        <v>966396</v>
      </c>
      <c r="H2">
        <f>D2 - F2</f>
        <v>-582481</v>
      </c>
      <c r="I2" s="75">
        <f>ABS(D2 - F2) / D2</f>
        <v>0.55681888791276446</v>
      </c>
      <c r="J2" s="76">
        <f>E2 - G2</f>
        <v>-308915</v>
      </c>
      <c r="K2" s="75">
        <f>ABS(E2 - G2) / E2</f>
        <v>0.46984627692663361</v>
      </c>
      <c r="L2" t="s">
        <v>449</v>
      </c>
    </row>
    <row r="3" spans="1:12" ht="30.75">
      <c r="A3" s="2" t="s">
        <v>450</v>
      </c>
      <c r="B3">
        <v>4</v>
      </c>
      <c r="C3">
        <v>4</v>
      </c>
      <c r="D3">
        <v>9459521</v>
      </c>
      <c r="E3">
        <v>84979</v>
      </c>
      <c r="F3">
        <v>212100</v>
      </c>
      <c r="G3">
        <v>45744</v>
      </c>
      <c r="H3">
        <f t="shared" ref="H3:H57" si="0">D3 - F3</f>
        <v>9247421</v>
      </c>
      <c r="I3" s="75">
        <f t="shared" ref="I3:I57" si="1">ABS(D3 - F3) / D3</f>
        <v>0.97757814587017677</v>
      </c>
      <c r="J3" s="76">
        <f t="shared" ref="J3:J57" si="2">E3 - G3</f>
        <v>39235</v>
      </c>
      <c r="K3" s="75">
        <f t="shared" ref="K3:K57" si="3">ABS(E3 - G3) / E3</f>
        <v>0.46170230292189834</v>
      </c>
      <c r="L3" t="s">
        <v>451</v>
      </c>
    </row>
    <row r="4" spans="1:12">
      <c r="A4" t="s">
        <v>452</v>
      </c>
      <c r="B4">
        <v>8</v>
      </c>
      <c r="C4">
        <v>8</v>
      </c>
      <c r="D4">
        <v>885000</v>
      </c>
      <c r="E4">
        <v>81000</v>
      </c>
      <c r="F4">
        <v>1038144</v>
      </c>
      <c r="G4">
        <v>168300</v>
      </c>
      <c r="H4">
        <f t="shared" si="0"/>
        <v>-153144</v>
      </c>
      <c r="I4" s="75">
        <f t="shared" si="1"/>
        <v>0.17304406779661016</v>
      </c>
      <c r="J4" s="76">
        <f t="shared" si="2"/>
        <v>-87300</v>
      </c>
      <c r="K4" s="75">
        <f t="shared" si="3"/>
        <v>1.0777777777777777</v>
      </c>
    </row>
    <row r="5" spans="1:12">
      <c r="A5" t="s">
        <v>453</v>
      </c>
      <c r="B5">
        <v>5</v>
      </c>
      <c r="C5">
        <v>4</v>
      </c>
      <c r="D5">
        <v>776571</v>
      </c>
      <c r="E5">
        <v>87103</v>
      </c>
      <c r="F5">
        <v>2258408</v>
      </c>
      <c r="G5">
        <v>37000</v>
      </c>
      <c r="H5">
        <f t="shared" si="0"/>
        <v>-1481837</v>
      </c>
      <c r="I5" s="75">
        <f t="shared" si="1"/>
        <v>1.9081796770675186</v>
      </c>
      <c r="J5" s="76">
        <f t="shared" si="2"/>
        <v>50103</v>
      </c>
      <c r="K5" s="75">
        <f t="shared" si="3"/>
        <v>0.57521554940702391</v>
      </c>
    </row>
    <row r="6" spans="1:12">
      <c r="A6" t="s">
        <v>454</v>
      </c>
      <c r="B6">
        <v>4</v>
      </c>
      <c r="C6">
        <v>2</v>
      </c>
      <c r="D6">
        <v>679702</v>
      </c>
      <c r="E6">
        <v>100000</v>
      </c>
      <c r="F6">
        <v>216000</v>
      </c>
      <c r="G6">
        <v>32400</v>
      </c>
      <c r="H6">
        <f t="shared" si="0"/>
        <v>463702</v>
      </c>
      <c r="I6" s="75">
        <f t="shared" si="1"/>
        <v>0.68221367599330296</v>
      </c>
      <c r="J6" s="76">
        <f t="shared" si="2"/>
        <v>67600</v>
      </c>
      <c r="K6" s="75">
        <f t="shared" si="3"/>
        <v>0.67600000000000005</v>
      </c>
    </row>
    <row r="7" spans="1:12" ht="30.75">
      <c r="A7" s="2" t="s">
        <v>455</v>
      </c>
      <c r="B7">
        <v>8</v>
      </c>
      <c r="C7">
        <v>8</v>
      </c>
      <c r="D7">
        <v>603288</v>
      </c>
      <c r="E7">
        <v>16817</v>
      </c>
      <c r="F7">
        <v>1400000</v>
      </c>
      <c r="G7">
        <v>200000</v>
      </c>
      <c r="H7">
        <f t="shared" si="0"/>
        <v>-796712</v>
      </c>
      <c r="I7" s="75">
        <f t="shared" si="1"/>
        <v>1.3206163557040751</v>
      </c>
      <c r="J7" s="76">
        <f t="shared" si="2"/>
        <v>-183183</v>
      </c>
      <c r="K7" s="75">
        <f t="shared" si="3"/>
        <v>10.892727597074389</v>
      </c>
    </row>
    <row r="8" spans="1:12" ht="30.75">
      <c r="A8" s="2" t="s">
        <v>456</v>
      </c>
      <c r="B8">
        <v>7</v>
      </c>
      <c r="C8">
        <v>2</v>
      </c>
      <c r="D8">
        <v>555000</v>
      </c>
      <c r="E8">
        <v>97427</v>
      </c>
      <c r="F8">
        <v>336000</v>
      </c>
      <c r="G8">
        <v>16800</v>
      </c>
      <c r="H8">
        <f t="shared" si="0"/>
        <v>219000</v>
      </c>
      <c r="I8" s="75">
        <f t="shared" si="1"/>
        <v>0.39459459459459462</v>
      </c>
      <c r="J8" s="76">
        <f t="shared" si="2"/>
        <v>80627</v>
      </c>
      <c r="K8" s="75">
        <f t="shared" si="3"/>
        <v>0.82756320116600124</v>
      </c>
    </row>
    <row r="9" spans="1:12" ht="30.75">
      <c r="A9" s="2" t="s">
        <v>457</v>
      </c>
      <c r="B9">
        <v>5</v>
      </c>
      <c r="C9">
        <v>5</v>
      </c>
      <c r="D9">
        <v>790137</v>
      </c>
      <c r="E9">
        <v>27198</v>
      </c>
      <c r="F9">
        <v>258408</v>
      </c>
      <c r="G9">
        <v>52800</v>
      </c>
      <c r="H9">
        <f t="shared" si="0"/>
        <v>531729</v>
      </c>
      <c r="I9" s="75">
        <f t="shared" si="1"/>
        <v>0.67295798070461199</v>
      </c>
      <c r="J9" s="76">
        <f t="shared" si="2"/>
        <v>-25602</v>
      </c>
      <c r="K9" s="75">
        <f t="shared" si="3"/>
        <v>0.94131921464813584</v>
      </c>
    </row>
    <row r="10" spans="1:12" ht="30.75">
      <c r="A10" s="2" t="s">
        <v>458</v>
      </c>
      <c r="B10">
        <v>6</v>
      </c>
      <c r="C10">
        <v>8</v>
      </c>
      <c r="D10">
        <v>551478</v>
      </c>
      <c r="E10">
        <v>42905</v>
      </c>
      <c r="F10">
        <v>1327860</v>
      </c>
      <c r="G10">
        <v>192000</v>
      </c>
      <c r="H10">
        <f t="shared" si="0"/>
        <v>-776382</v>
      </c>
      <c r="I10" s="75">
        <f t="shared" si="1"/>
        <v>1.4078204388933013</v>
      </c>
      <c r="J10" s="76">
        <f t="shared" si="2"/>
        <v>-149095</v>
      </c>
      <c r="K10" s="75">
        <f t="shared" si="3"/>
        <v>3.4750029134133551</v>
      </c>
    </row>
    <row r="11" spans="1:12">
      <c r="A11" t="s">
        <v>459</v>
      </c>
      <c r="B11">
        <v>5</v>
      </c>
      <c r="C11">
        <v>4</v>
      </c>
      <c r="D11">
        <v>545000</v>
      </c>
      <c r="E11">
        <v>30000</v>
      </c>
      <c r="F11">
        <v>258000</v>
      </c>
      <c r="G11">
        <v>48000</v>
      </c>
      <c r="H11">
        <f t="shared" si="0"/>
        <v>287000</v>
      </c>
      <c r="I11" s="75">
        <f t="shared" si="1"/>
        <v>0.52660550458715594</v>
      </c>
      <c r="J11" s="76">
        <f t="shared" si="2"/>
        <v>-18000</v>
      </c>
      <c r="K11" s="75">
        <f t="shared" si="3"/>
        <v>0.6</v>
      </c>
    </row>
    <row r="12" spans="1:12" ht="30.75">
      <c r="A12" s="2" t="s">
        <v>460</v>
      </c>
      <c r="B12">
        <v>5</v>
      </c>
      <c r="C12">
        <v>4</v>
      </c>
      <c r="D12">
        <v>51000</v>
      </c>
      <c r="E12">
        <v>62000</v>
      </c>
      <c r="F12">
        <v>260000</v>
      </c>
      <c r="G12">
        <v>44000</v>
      </c>
      <c r="H12">
        <f t="shared" si="0"/>
        <v>-209000</v>
      </c>
      <c r="I12" s="75">
        <f t="shared" si="1"/>
        <v>4.0980392156862742</v>
      </c>
      <c r="J12" s="76">
        <f t="shared" si="2"/>
        <v>18000</v>
      </c>
      <c r="K12" s="75">
        <f t="shared" si="3"/>
        <v>0.29032258064516131</v>
      </c>
    </row>
    <row r="13" spans="1:12">
      <c r="A13" t="s">
        <v>461</v>
      </c>
      <c r="B13">
        <v>6</v>
      </c>
      <c r="C13">
        <v>8</v>
      </c>
      <c r="D13" s="58">
        <v>497437</v>
      </c>
      <c r="E13">
        <v>21893</v>
      </c>
      <c r="F13">
        <v>1584000</v>
      </c>
      <c r="G13">
        <v>156000</v>
      </c>
      <c r="H13">
        <f t="shared" si="0"/>
        <v>-1086563</v>
      </c>
      <c r="I13" s="75">
        <f t="shared" si="1"/>
        <v>2.1843228388720584</v>
      </c>
      <c r="J13" s="76">
        <f t="shared" si="2"/>
        <v>-134107</v>
      </c>
      <c r="K13" s="75">
        <f t="shared" si="3"/>
        <v>6.1255652491664003</v>
      </c>
    </row>
    <row r="14" spans="1:12" ht="30.75">
      <c r="A14" s="2" t="s">
        <v>462</v>
      </c>
      <c r="B14">
        <v>2</v>
      </c>
      <c r="C14">
        <v>2</v>
      </c>
      <c r="D14">
        <v>408000</v>
      </c>
      <c r="E14">
        <v>14000</v>
      </c>
      <c r="F14">
        <v>210000</v>
      </c>
      <c r="G14">
        <v>31200</v>
      </c>
      <c r="H14">
        <f t="shared" si="0"/>
        <v>198000</v>
      </c>
      <c r="I14" s="75">
        <f t="shared" si="1"/>
        <v>0.48529411764705882</v>
      </c>
      <c r="J14" s="76">
        <f t="shared" si="2"/>
        <v>-17200</v>
      </c>
      <c r="K14" s="75">
        <f t="shared" si="3"/>
        <v>1.2285714285714286</v>
      </c>
    </row>
    <row r="15" spans="1:12" ht="30.75">
      <c r="A15" s="2" t="s">
        <v>463</v>
      </c>
      <c r="B15">
        <v>4</v>
      </c>
      <c r="C15">
        <v>4</v>
      </c>
      <c r="D15">
        <v>380000</v>
      </c>
      <c r="E15">
        <v>18000</v>
      </c>
      <c r="F15">
        <v>396000</v>
      </c>
      <c r="G15">
        <v>45600</v>
      </c>
      <c r="H15">
        <f t="shared" si="0"/>
        <v>-16000</v>
      </c>
      <c r="I15" s="75">
        <f t="shared" si="1"/>
        <v>4.2105263157894736E-2</v>
      </c>
      <c r="J15" s="76">
        <f t="shared" si="2"/>
        <v>-27600</v>
      </c>
      <c r="K15" s="75">
        <f t="shared" si="3"/>
        <v>1.5333333333333334</v>
      </c>
    </row>
    <row r="16" spans="1:12" ht="30.75">
      <c r="A16" s="2" t="s">
        <v>464</v>
      </c>
      <c r="B16">
        <v>2</v>
      </c>
      <c r="C16">
        <v>4</v>
      </c>
      <c r="D16">
        <v>355000</v>
      </c>
      <c r="E16">
        <v>385000</v>
      </c>
      <c r="F16">
        <v>240000</v>
      </c>
      <c r="G16">
        <v>45600</v>
      </c>
      <c r="H16">
        <f t="shared" si="0"/>
        <v>115000</v>
      </c>
      <c r="I16" s="75">
        <f t="shared" si="1"/>
        <v>0.323943661971831</v>
      </c>
      <c r="J16" s="76">
        <f t="shared" si="2"/>
        <v>339400</v>
      </c>
      <c r="K16" s="75">
        <f t="shared" si="3"/>
        <v>0.88155844155844154</v>
      </c>
    </row>
    <row r="17" spans="1:11" ht="30.75">
      <c r="A17" s="2" t="s">
        <v>465</v>
      </c>
      <c r="B17">
        <v>5</v>
      </c>
      <c r="C17">
        <v>6</v>
      </c>
      <c r="D17">
        <v>345000</v>
      </c>
      <c r="E17">
        <v>87000</v>
      </c>
      <c r="F17">
        <v>120000</v>
      </c>
      <c r="G17">
        <v>372000</v>
      </c>
      <c r="H17">
        <f t="shared" si="0"/>
        <v>225000</v>
      </c>
      <c r="I17" s="75">
        <f t="shared" si="1"/>
        <v>0.65217391304347827</v>
      </c>
      <c r="J17" s="76">
        <f t="shared" si="2"/>
        <v>-285000</v>
      </c>
      <c r="K17" s="75">
        <f t="shared" si="3"/>
        <v>3.2758620689655173</v>
      </c>
    </row>
    <row r="18" spans="1:11">
      <c r="A18" t="s">
        <v>466</v>
      </c>
      <c r="B18">
        <v>3</v>
      </c>
      <c r="C18">
        <v>0</v>
      </c>
      <c r="D18">
        <v>337000</v>
      </c>
      <c r="F18">
        <v>240000</v>
      </c>
      <c r="H18">
        <f t="shared" si="0"/>
        <v>97000</v>
      </c>
      <c r="I18" s="75">
        <f t="shared" si="1"/>
        <v>0.28783382789317508</v>
      </c>
      <c r="J18" s="76">
        <f t="shared" si="2"/>
        <v>0</v>
      </c>
      <c r="K18" s="75">
        <v>0</v>
      </c>
    </row>
    <row r="19" spans="1:11" ht="30.75">
      <c r="A19" s="2" t="s">
        <v>467</v>
      </c>
      <c r="B19">
        <v>2</v>
      </c>
      <c r="C19">
        <v>2</v>
      </c>
      <c r="D19">
        <v>330000</v>
      </c>
      <c r="E19">
        <v>17000</v>
      </c>
      <c r="F19">
        <v>240000</v>
      </c>
      <c r="G19">
        <v>31200</v>
      </c>
      <c r="H19">
        <f t="shared" si="0"/>
        <v>90000</v>
      </c>
      <c r="I19" s="75">
        <f t="shared" si="1"/>
        <v>0.27272727272727271</v>
      </c>
      <c r="J19" s="76">
        <f t="shared" si="2"/>
        <v>-14200</v>
      </c>
      <c r="K19" s="75">
        <f t="shared" si="3"/>
        <v>0.83529411764705885</v>
      </c>
    </row>
    <row r="20" spans="1:11" ht="30.75">
      <c r="A20" s="2" t="s">
        <v>468</v>
      </c>
      <c r="B20">
        <v>4</v>
      </c>
      <c r="C20">
        <v>2</v>
      </c>
      <c r="D20">
        <v>328000</v>
      </c>
      <c r="E20">
        <v>12000</v>
      </c>
      <c r="F20">
        <v>456000</v>
      </c>
      <c r="G20">
        <v>31200</v>
      </c>
      <c r="H20">
        <f t="shared" si="0"/>
        <v>-128000</v>
      </c>
      <c r="I20" s="75">
        <f t="shared" si="1"/>
        <v>0.3902439024390244</v>
      </c>
      <c r="J20" s="76">
        <f t="shared" si="2"/>
        <v>-19200</v>
      </c>
      <c r="K20" s="75">
        <f t="shared" si="3"/>
        <v>1.6</v>
      </c>
    </row>
    <row r="21" spans="1:11" ht="30.75">
      <c r="A21" s="2" t="s">
        <v>469</v>
      </c>
      <c r="B21">
        <v>4</v>
      </c>
      <c r="C21">
        <v>4</v>
      </c>
      <c r="D21">
        <v>321000</v>
      </c>
      <c r="E21">
        <v>36000</v>
      </c>
      <c r="F21">
        <v>456000</v>
      </c>
      <c r="G21">
        <v>45600</v>
      </c>
      <c r="H21">
        <f t="shared" si="0"/>
        <v>-135000</v>
      </c>
      <c r="I21" s="75">
        <f t="shared" si="1"/>
        <v>0.42056074766355139</v>
      </c>
      <c r="J21" s="76">
        <f t="shared" si="2"/>
        <v>-9600</v>
      </c>
      <c r="K21" s="75">
        <f t="shared" si="3"/>
        <v>0.26666666666666666</v>
      </c>
    </row>
    <row r="22" spans="1:11">
      <c r="A22" t="s">
        <v>470</v>
      </c>
      <c r="B22">
        <v>4</v>
      </c>
      <c r="C22">
        <v>4</v>
      </c>
      <c r="D22">
        <v>302000</v>
      </c>
      <c r="E22">
        <v>18000</v>
      </c>
      <c r="F22">
        <v>456000</v>
      </c>
      <c r="G22">
        <v>45600</v>
      </c>
      <c r="H22">
        <f t="shared" si="0"/>
        <v>-154000</v>
      </c>
      <c r="I22" s="75">
        <f t="shared" si="1"/>
        <v>0.50993377483443714</v>
      </c>
      <c r="J22" s="76">
        <f t="shared" si="2"/>
        <v>-27600</v>
      </c>
      <c r="K22" s="75">
        <f t="shared" si="3"/>
        <v>1.5333333333333334</v>
      </c>
    </row>
    <row r="23" spans="1:11" ht="30.75">
      <c r="A23" s="2" t="s">
        <v>471</v>
      </c>
      <c r="B23">
        <v>4</v>
      </c>
      <c r="C23">
        <v>4</v>
      </c>
      <c r="D23">
        <v>298000</v>
      </c>
      <c r="E23">
        <v>11200</v>
      </c>
      <c r="F23">
        <v>408000</v>
      </c>
      <c r="G23">
        <v>44400</v>
      </c>
      <c r="H23">
        <f t="shared" si="0"/>
        <v>-110000</v>
      </c>
      <c r="I23" s="75">
        <f t="shared" si="1"/>
        <v>0.36912751677852351</v>
      </c>
      <c r="J23" s="76">
        <f t="shared" si="2"/>
        <v>-33200</v>
      </c>
      <c r="K23" s="75">
        <f t="shared" si="3"/>
        <v>2.9642857142857144</v>
      </c>
    </row>
    <row r="24" spans="1:11" ht="30.75">
      <c r="A24" s="2" t="s">
        <v>472</v>
      </c>
      <c r="B24">
        <v>5</v>
      </c>
      <c r="C24">
        <v>4</v>
      </c>
      <c r="D24">
        <v>292000</v>
      </c>
      <c r="E24">
        <v>13000</v>
      </c>
      <c r="F24">
        <v>504000</v>
      </c>
      <c r="G24">
        <v>44400</v>
      </c>
      <c r="H24">
        <f t="shared" si="0"/>
        <v>-212000</v>
      </c>
      <c r="I24" s="75">
        <f t="shared" si="1"/>
        <v>0.72602739726027399</v>
      </c>
      <c r="J24" s="76">
        <f t="shared" si="2"/>
        <v>-31400</v>
      </c>
      <c r="K24" s="75">
        <f t="shared" si="3"/>
        <v>2.4153846153846152</v>
      </c>
    </row>
    <row r="25" spans="1:11" ht="30.75">
      <c r="A25" s="2" t="s">
        <v>473</v>
      </c>
      <c r="B25">
        <v>4</v>
      </c>
      <c r="C25">
        <v>4</v>
      </c>
      <c r="D25">
        <v>292000</v>
      </c>
      <c r="E25">
        <v>50000</v>
      </c>
      <c r="F25">
        <v>408000</v>
      </c>
      <c r="G25">
        <v>44400</v>
      </c>
      <c r="H25">
        <f t="shared" si="0"/>
        <v>-116000</v>
      </c>
      <c r="I25" s="75">
        <f t="shared" si="1"/>
        <v>0.39726027397260272</v>
      </c>
      <c r="J25" s="76">
        <f t="shared" si="2"/>
        <v>5600</v>
      </c>
      <c r="K25" s="75">
        <f t="shared" si="3"/>
        <v>0.112</v>
      </c>
    </row>
    <row r="26" spans="1:11">
      <c r="A26" t="s">
        <v>474</v>
      </c>
      <c r="B26">
        <v>5</v>
      </c>
      <c r="C26">
        <v>4</v>
      </c>
      <c r="D26">
        <v>264000</v>
      </c>
      <c r="E26">
        <v>48500</v>
      </c>
      <c r="F26">
        <v>500000</v>
      </c>
      <c r="G26">
        <v>46400</v>
      </c>
      <c r="H26">
        <f t="shared" si="0"/>
        <v>-236000</v>
      </c>
      <c r="I26" s="75">
        <f t="shared" si="1"/>
        <v>0.89393939393939392</v>
      </c>
      <c r="J26" s="76">
        <f t="shared" si="2"/>
        <v>2100</v>
      </c>
      <c r="K26" s="75">
        <f t="shared" si="3"/>
        <v>4.3298969072164947E-2</v>
      </c>
    </row>
    <row r="27" spans="1:11" ht="30.75">
      <c r="A27" s="2" t="s">
        <v>475</v>
      </c>
      <c r="B27">
        <v>4</v>
      </c>
      <c r="C27">
        <v>2</v>
      </c>
      <c r="D27">
        <v>261000</v>
      </c>
      <c r="E27">
        <v>8000</v>
      </c>
      <c r="F27">
        <v>408000</v>
      </c>
      <c r="G27">
        <v>30000</v>
      </c>
      <c r="H27">
        <f t="shared" si="0"/>
        <v>-147000</v>
      </c>
      <c r="I27" s="75">
        <f t="shared" si="1"/>
        <v>0.56321839080459768</v>
      </c>
      <c r="J27" s="76">
        <f t="shared" si="2"/>
        <v>-22000</v>
      </c>
      <c r="K27" s="75">
        <f t="shared" si="3"/>
        <v>2.75</v>
      </c>
    </row>
    <row r="28" spans="1:11">
      <c r="A28" t="s">
        <v>476</v>
      </c>
      <c r="B28">
        <v>2</v>
      </c>
      <c r="C28">
        <v>0</v>
      </c>
      <c r="D28">
        <v>240000</v>
      </c>
      <c r="F28">
        <v>216000</v>
      </c>
      <c r="G28">
        <v>18000</v>
      </c>
      <c r="H28">
        <f t="shared" si="0"/>
        <v>24000</v>
      </c>
      <c r="I28" s="75">
        <f t="shared" si="1"/>
        <v>0.1</v>
      </c>
      <c r="J28" s="76">
        <f t="shared" si="2"/>
        <v>-18000</v>
      </c>
      <c r="K28" s="75">
        <v>0</v>
      </c>
    </row>
    <row r="29" spans="1:11">
      <c r="A29" t="s">
        <v>477</v>
      </c>
      <c r="B29">
        <v>4</v>
      </c>
      <c r="C29">
        <v>4</v>
      </c>
      <c r="D29">
        <v>216000</v>
      </c>
      <c r="E29">
        <v>20000</v>
      </c>
      <c r="F29">
        <v>408000</v>
      </c>
      <c r="G29">
        <v>45600</v>
      </c>
      <c r="H29">
        <f t="shared" si="0"/>
        <v>-192000</v>
      </c>
      <c r="I29" s="75">
        <f t="shared" si="1"/>
        <v>0.88888888888888884</v>
      </c>
      <c r="J29" s="76">
        <f t="shared" si="2"/>
        <v>-25600</v>
      </c>
      <c r="K29" s="75">
        <f t="shared" si="3"/>
        <v>1.28</v>
      </c>
    </row>
    <row r="30" spans="1:11" ht="30.75">
      <c r="A30" s="2" t="s">
        <v>478</v>
      </c>
      <c r="B30">
        <v>3</v>
      </c>
      <c r="C30">
        <v>6</v>
      </c>
      <c r="D30">
        <v>200000</v>
      </c>
      <c r="E30">
        <v>24000</v>
      </c>
      <c r="F30">
        <v>312000</v>
      </c>
      <c r="G30">
        <v>58200</v>
      </c>
      <c r="H30">
        <f t="shared" si="0"/>
        <v>-112000</v>
      </c>
      <c r="I30" s="75">
        <f t="shared" si="1"/>
        <v>0.56000000000000005</v>
      </c>
      <c r="J30" s="76">
        <f t="shared" si="2"/>
        <v>-34200</v>
      </c>
      <c r="K30" s="75">
        <f t="shared" si="3"/>
        <v>1.425</v>
      </c>
    </row>
    <row r="31" spans="1:11">
      <c r="A31" t="s">
        <v>479</v>
      </c>
      <c r="B31">
        <v>2</v>
      </c>
      <c r="C31">
        <v>2</v>
      </c>
      <c r="D31">
        <v>184000</v>
      </c>
      <c r="E31">
        <v>24000</v>
      </c>
      <c r="F31">
        <v>216000</v>
      </c>
      <c r="G31">
        <v>30000</v>
      </c>
      <c r="H31">
        <f t="shared" si="0"/>
        <v>-32000</v>
      </c>
      <c r="I31" s="75">
        <f t="shared" si="1"/>
        <v>0.17391304347826086</v>
      </c>
      <c r="J31" s="76">
        <f t="shared" si="2"/>
        <v>-6000</v>
      </c>
      <c r="K31" s="75">
        <f t="shared" si="3"/>
        <v>0.25</v>
      </c>
    </row>
    <row r="32" spans="1:11" ht="30.75">
      <c r="A32" s="2" t="s">
        <v>480</v>
      </c>
      <c r="B32">
        <v>2</v>
      </c>
      <c r="C32">
        <v>4</v>
      </c>
      <c r="D32">
        <v>149000</v>
      </c>
      <c r="E32">
        <v>15000</v>
      </c>
      <c r="F32">
        <v>216000</v>
      </c>
      <c r="G32">
        <v>45600</v>
      </c>
      <c r="H32">
        <f t="shared" si="0"/>
        <v>-67000</v>
      </c>
      <c r="I32" s="75">
        <f t="shared" si="1"/>
        <v>0.44966442953020136</v>
      </c>
      <c r="J32" s="76">
        <f t="shared" si="2"/>
        <v>-30600</v>
      </c>
      <c r="K32" s="75">
        <f t="shared" si="3"/>
        <v>2.04</v>
      </c>
    </row>
    <row r="33" spans="1:11" ht="30.75">
      <c r="A33" s="2" t="s">
        <v>481</v>
      </c>
      <c r="B33">
        <v>4</v>
      </c>
      <c r="C33">
        <v>4</v>
      </c>
      <c r="D33">
        <v>145000</v>
      </c>
      <c r="E33">
        <v>15000</v>
      </c>
      <c r="F33">
        <v>410000</v>
      </c>
      <c r="G33">
        <v>57600</v>
      </c>
      <c r="H33">
        <f t="shared" si="0"/>
        <v>-265000</v>
      </c>
      <c r="I33" s="75">
        <f t="shared" si="1"/>
        <v>1.8275862068965518</v>
      </c>
      <c r="J33" s="76">
        <f t="shared" si="2"/>
        <v>-42600</v>
      </c>
      <c r="K33" s="75">
        <f t="shared" si="3"/>
        <v>2.84</v>
      </c>
    </row>
    <row r="34" spans="1:11" ht="30.75">
      <c r="A34" s="2" t="s">
        <v>482</v>
      </c>
      <c r="B34">
        <v>3</v>
      </c>
      <c r="C34">
        <v>2</v>
      </c>
      <c r="D34">
        <v>135000</v>
      </c>
      <c r="E34">
        <v>2600</v>
      </c>
      <c r="F34">
        <v>312000</v>
      </c>
      <c r="G34">
        <v>32000</v>
      </c>
      <c r="H34">
        <f t="shared" si="0"/>
        <v>-177000</v>
      </c>
      <c r="I34" s="75">
        <f t="shared" si="1"/>
        <v>1.3111111111111111</v>
      </c>
      <c r="J34" s="76">
        <f t="shared" si="2"/>
        <v>-29400</v>
      </c>
      <c r="K34" s="75">
        <f t="shared" si="3"/>
        <v>11.307692307692308</v>
      </c>
    </row>
    <row r="35" spans="1:11">
      <c r="A35" t="s">
        <v>483</v>
      </c>
      <c r="B35">
        <v>3</v>
      </c>
      <c r="C35">
        <v>2</v>
      </c>
      <c r="D35">
        <v>130000</v>
      </c>
      <c r="E35">
        <v>17500</v>
      </c>
      <c r="F35">
        <v>312000</v>
      </c>
      <c r="G35">
        <v>45600</v>
      </c>
      <c r="H35">
        <f t="shared" si="0"/>
        <v>-182000</v>
      </c>
      <c r="I35" s="75">
        <f t="shared" si="1"/>
        <v>1.4</v>
      </c>
      <c r="J35" s="76">
        <f t="shared" si="2"/>
        <v>-28100</v>
      </c>
      <c r="K35" s="75">
        <f t="shared" si="3"/>
        <v>1.6057142857142856</v>
      </c>
    </row>
    <row r="36" spans="1:11" ht="30.75">
      <c r="A36" s="2" t="s">
        <v>484</v>
      </c>
      <c r="B36">
        <v>2</v>
      </c>
      <c r="C36">
        <v>0</v>
      </c>
      <c r="D36">
        <v>126000</v>
      </c>
      <c r="F36">
        <v>240000</v>
      </c>
      <c r="H36">
        <f t="shared" si="0"/>
        <v>-114000</v>
      </c>
      <c r="I36" s="75">
        <f t="shared" si="1"/>
        <v>0.90476190476190477</v>
      </c>
      <c r="J36" s="76">
        <f t="shared" si="2"/>
        <v>0</v>
      </c>
      <c r="K36" s="75">
        <v>0</v>
      </c>
    </row>
    <row r="37" spans="1:11">
      <c r="A37" t="s">
        <v>485</v>
      </c>
      <c r="B37">
        <v>3</v>
      </c>
      <c r="C37">
        <v>0</v>
      </c>
      <c r="D37">
        <v>117000</v>
      </c>
      <c r="F37">
        <v>312000</v>
      </c>
      <c r="H37">
        <f t="shared" si="0"/>
        <v>-195000</v>
      </c>
      <c r="I37" s="75">
        <f t="shared" si="1"/>
        <v>1.6666666666666667</v>
      </c>
      <c r="J37" s="76">
        <f t="shared" si="2"/>
        <v>0</v>
      </c>
      <c r="K37" s="75">
        <v>0</v>
      </c>
    </row>
    <row r="38" spans="1:11" ht="30.75">
      <c r="A38" s="2" t="s">
        <v>486</v>
      </c>
      <c r="B38">
        <v>2</v>
      </c>
      <c r="C38">
        <v>4</v>
      </c>
      <c r="D38">
        <v>109000</v>
      </c>
      <c r="F38">
        <v>216000</v>
      </c>
      <c r="G38">
        <v>45600</v>
      </c>
      <c r="H38">
        <f t="shared" si="0"/>
        <v>-107000</v>
      </c>
      <c r="I38" s="75">
        <f t="shared" si="1"/>
        <v>0.98165137614678899</v>
      </c>
      <c r="J38" s="76">
        <f t="shared" si="2"/>
        <v>-45600</v>
      </c>
      <c r="K38" s="75">
        <v>0</v>
      </c>
    </row>
    <row r="39" spans="1:11" ht="30.75">
      <c r="A39" s="2" t="s">
        <v>487</v>
      </c>
      <c r="B39">
        <v>6</v>
      </c>
      <c r="C39">
        <v>2</v>
      </c>
      <c r="D39">
        <v>107000</v>
      </c>
      <c r="E39">
        <v>15500</v>
      </c>
      <c r="F39">
        <v>600000</v>
      </c>
      <c r="G39">
        <v>32000</v>
      </c>
      <c r="H39">
        <f t="shared" si="0"/>
        <v>-493000</v>
      </c>
      <c r="I39" s="75">
        <f t="shared" si="1"/>
        <v>4.6074766355140184</v>
      </c>
      <c r="J39" s="76">
        <f t="shared" si="2"/>
        <v>-16500</v>
      </c>
      <c r="K39" s="75">
        <f t="shared" si="3"/>
        <v>1.064516129032258</v>
      </c>
    </row>
    <row r="40" spans="1:11" ht="30.75">
      <c r="A40" s="2" t="s">
        <v>488</v>
      </c>
      <c r="B40">
        <v>6</v>
      </c>
      <c r="C40">
        <v>4</v>
      </c>
      <c r="D40">
        <v>105000</v>
      </c>
      <c r="E40">
        <v>3900</v>
      </c>
      <c r="F40">
        <v>600000</v>
      </c>
      <c r="G40">
        <v>45600</v>
      </c>
      <c r="H40">
        <f t="shared" si="0"/>
        <v>-495000</v>
      </c>
      <c r="I40" s="75">
        <f t="shared" si="1"/>
        <v>4.7142857142857144</v>
      </c>
      <c r="J40" s="76">
        <f t="shared" si="2"/>
        <v>-41700</v>
      </c>
      <c r="K40" s="75">
        <f t="shared" si="3"/>
        <v>10.692307692307692</v>
      </c>
    </row>
    <row r="41" spans="1:11">
      <c r="A41" t="s">
        <v>489</v>
      </c>
      <c r="B41">
        <v>2</v>
      </c>
      <c r="C41">
        <v>2</v>
      </c>
      <c r="D41">
        <v>104000</v>
      </c>
      <c r="E41">
        <v>4000</v>
      </c>
      <c r="F41">
        <v>216000</v>
      </c>
      <c r="G41">
        <v>31000</v>
      </c>
      <c r="H41">
        <f t="shared" si="0"/>
        <v>-112000</v>
      </c>
      <c r="I41" s="75">
        <f t="shared" si="1"/>
        <v>1.0769230769230769</v>
      </c>
      <c r="J41" s="76">
        <f t="shared" si="2"/>
        <v>-27000</v>
      </c>
      <c r="K41" s="75">
        <f t="shared" si="3"/>
        <v>6.75</v>
      </c>
    </row>
    <row r="42" spans="1:11">
      <c r="A42" t="s">
        <v>490</v>
      </c>
      <c r="B42">
        <v>4</v>
      </c>
      <c r="C42">
        <v>1</v>
      </c>
      <c r="D42">
        <v>96000</v>
      </c>
      <c r="E42">
        <v>11000</v>
      </c>
      <c r="F42">
        <v>408000</v>
      </c>
      <c r="G42">
        <v>24000</v>
      </c>
      <c r="H42">
        <f t="shared" si="0"/>
        <v>-312000</v>
      </c>
      <c r="I42" s="75">
        <f t="shared" si="1"/>
        <v>3.25</v>
      </c>
      <c r="J42" s="76">
        <f t="shared" si="2"/>
        <v>-13000</v>
      </c>
      <c r="K42" s="75">
        <f t="shared" si="3"/>
        <v>1.1818181818181819</v>
      </c>
    </row>
    <row r="43" spans="1:11" ht="30.75">
      <c r="A43" s="2" t="s">
        <v>491</v>
      </c>
      <c r="B43">
        <v>10</v>
      </c>
      <c r="C43">
        <v>20</v>
      </c>
      <c r="D43">
        <v>89000</v>
      </c>
      <c r="E43">
        <v>3000</v>
      </c>
      <c r="F43">
        <v>2280000</v>
      </c>
      <c r="G43">
        <v>226000</v>
      </c>
      <c r="H43">
        <f t="shared" si="0"/>
        <v>-2191000</v>
      </c>
      <c r="I43" s="75">
        <f t="shared" si="1"/>
        <v>24.617977528089888</v>
      </c>
      <c r="J43" s="76">
        <f t="shared" si="2"/>
        <v>-223000</v>
      </c>
      <c r="K43" s="75">
        <f t="shared" si="3"/>
        <v>74.333333333333329</v>
      </c>
    </row>
    <row r="44" spans="1:11" ht="30.75">
      <c r="A44" s="2" t="s">
        <v>492</v>
      </c>
      <c r="B44">
        <v>4</v>
      </c>
      <c r="C44">
        <v>4</v>
      </c>
      <c r="D44">
        <v>84000</v>
      </c>
      <c r="E44">
        <v>10600</v>
      </c>
      <c r="F44">
        <v>408000</v>
      </c>
      <c r="G44">
        <v>45600</v>
      </c>
      <c r="H44">
        <f t="shared" si="0"/>
        <v>-324000</v>
      </c>
      <c r="I44" s="75">
        <f t="shared" si="1"/>
        <v>3.8571428571428572</v>
      </c>
      <c r="J44" s="76">
        <f t="shared" si="2"/>
        <v>-35000</v>
      </c>
      <c r="K44" s="75">
        <f t="shared" si="3"/>
        <v>3.3018867924528301</v>
      </c>
    </row>
    <row r="45" spans="1:11">
      <c r="A45" t="s">
        <v>493</v>
      </c>
      <c r="B45">
        <v>4</v>
      </c>
      <c r="C45">
        <v>4</v>
      </c>
      <c r="D45">
        <v>85500</v>
      </c>
      <c r="E45">
        <v>15000</v>
      </c>
      <c r="F45">
        <v>216000</v>
      </c>
      <c r="G45">
        <v>45000</v>
      </c>
      <c r="H45">
        <f t="shared" si="0"/>
        <v>-130500</v>
      </c>
      <c r="I45" s="75">
        <f t="shared" si="1"/>
        <v>1.5263157894736843</v>
      </c>
      <c r="J45" s="76">
        <f t="shared" si="2"/>
        <v>-30000</v>
      </c>
      <c r="K45" s="75">
        <f t="shared" si="3"/>
        <v>2</v>
      </c>
    </row>
    <row r="46" spans="1:11">
      <c r="A46" t="s">
        <v>494</v>
      </c>
      <c r="B46">
        <v>4</v>
      </c>
      <c r="C46">
        <v>4</v>
      </c>
      <c r="D46">
        <v>76000</v>
      </c>
      <c r="E46">
        <v>27000</v>
      </c>
      <c r="F46">
        <v>408000</v>
      </c>
      <c r="G46">
        <v>45600</v>
      </c>
      <c r="H46">
        <f t="shared" si="0"/>
        <v>-332000</v>
      </c>
      <c r="I46" s="75">
        <f t="shared" si="1"/>
        <v>4.3684210526315788</v>
      </c>
      <c r="J46" s="76">
        <f t="shared" si="2"/>
        <v>-18600</v>
      </c>
      <c r="K46" s="75">
        <f t="shared" si="3"/>
        <v>0.68888888888888888</v>
      </c>
    </row>
    <row r="47" spans="1:11" ht="30.75">
      <c r="A47" s="2" t="s">
        <v>495</v>
      </c>
      <c r="B47">
        <v>4</v>
      </c>
      <c r="C47">
        <v>0</v>
      </c>
      <c r="D47">
        <v>76000</v>
      </c>
      <c r="F47">
        <v>408000</v>
      </c>
      <c r="H47">
        <f t="shared" si="0"/>
        <v>-332000</v>
      </c>
      <c r="I47" s="75">
        <f t="shared" si="1"/>
        <v>4.3684210526315788</v>
      </c>
      <c r="J47" s="76">
        <f t="shared" si="2"/>
        <v>0</v>
      </c>
      <c r="K47" s="75">
        <v>0</v>
      </c>
    </row>
    <row r="48" spans="1:11" ht="30.75">
      <c r="A48" s="2" t="s">
        <v>496</v>
      </c>
      <c r="B48">
        <v>4</v>
      </c>
      <c r="C48">
        <v>4</v>
      </c>
      <c r="D48">
        <v>67000</v>
      </c>
      <c r="E48">
        <v>4800</v>
      </c>
      <c r="F48">
        <v>408000</v>
      </c>
      <c r="G48">
        <v>42000</v>
      </c>
      <c r="H48">
        <f t="shared" si="0"/>
        <v>-341000</v>
      </c>
      <c r="I48" s="75">
        <f t="shared" si="1"/>
        <v>5.08955223880597</v>
      </c>
      <c r="J48" s="76">
        <f t="shared" si="2"/>
        <v>-37200</v>
      </c>
      <c r="K48" s="75">
        <f t="shared" si="3"/>
        <v>7.75</v>
      </c>
    </row>
    <row r="49" spans="1:11">
      <c r="A49" t="s">
        <v>497</v>
      </c>
      <c r="B49">
        <v>4</v>
      </c>
      <c r="C49">
        <v>2</v>
      </c>
      <c r="D49">
        <v>61000</v>
      </c>
      <c r="E49">
        <v>2000</v>
      </c>
      <c r="F49">
        <v>456000</v>
      </c>
      <c r="G49">
        <v>45000</v>
      </c>
      <c r="H49">
        <f t="shared" si="0"/>
        <v>-395000</v>
      </c>
      <c r="I49" s="75">
        <f t="shared" si="1"/>
        <v>6.4754098360655741</v>
      </c>
      <c r="J49" s="76">
        <f t="shared" si="2"/>
        <v>-43000</v>
      </c>
      <c r="K49" s="75">
        <f t="shared" si="3"/>
        <v>21.5</v>
      </c>
    </row>
    <row r="50" spans="1:11">
      <c r="A50" t="s">
        <v>498</v>
      </c>
      <c r="B50">
        <v>4</v>
      </c>
      <c r="C50">
        <v>8</v>
      </c>
      <c r="D50">
        <v>57000</v>
      </c>
      <c r="E50">
        <v>11000</v>
      </c>
      <c r="F50">
        <v>744000</v>
      </c>
      <c r="G50">
        <v>144000</v>
      </c>
      <c r="H50">
        <f t="shared" si="0"/>
        <v>-687000</v>
      </c>
      <c r="I50" s="75">
        <f t="shared" si="1"/>
        <v>12.052631578947368</v>
      </c>
      <c r="J50" s="76">
        <f t="shared" si="2"/>
        <v>-133000</v>
      </c>
      <c r="K50" s="75">
        <f t="shared" si="3"/>
        <v>12.090909090909092</v>
      </c>
    </row>
    <row r="51" spans="1:11" ht="30.75">
      <c r="A51" s="2" t="s">
        <v>499</v>
      </c>
      <c r="B51">
        <v>2</v>
      </c>
      <c r="C51">
        <v>4</v>
      </c>
      <c r="D51">
        <v>48000</v>
      </c>
      <c r="F51">
        <v>216000</v>
      </c>
      <c r="G51">
        <v>45600</v>
      </c>
      <c r="H51">
        <f t="shared" si="0"/>
        <v>-168000</v>
      </c>
      <c r="I51" s="75">
        <f t="shared" si="1"/>
        <v>3.5</v>
      </c>
      <c r="J51" s="76">
        <f t="shared" si="2"/>
        <v>-45600</v>
      </c>
      <c r="K51" s="75">
        <v>0</v>
      </c>
    </row>
    <row r="52" spans="1:11" ht="30.75">
      <c r="A52" s="2" t="s">
        <v>500</v>
      </c>
      <c r="B52">
        <v>2</v>
      </c>
      <c r="C52">
        <v>4</v>
      </c>
      <c r="D52">
        <v>45000</v>
      </c>
      <c r="E52">
        <v>3300</v>
      </c>
      <c r="F52">
        <v>216000</v>
      </c>
      <c r="G52">
        <v>45600</v>
      </c>
      <c r="H52">
        <f t="shared" si="0"/>
        <v>-171000</v>
      </c>
      <c r="I52" s="75">
        <f t="shared" si="1"/>
        <v>3.8</v>
      </c>
      <c r="J52" s="76">
        <f t="shared" si="2"/>
        <v>-42300</v>
      </c>
      <c r="K52" s="75">
        <f t="shared" si="3"/>
        <v>12.818181818181818</v>
      </c>
    </row>
    <row r="53" spans="1:11" ht="30.75">
      <c r="A53" s="2" t="s">
        <v>501</v>
      </c>
      <c r="B53">
        <v>3</v>
      </c>
      <c r="C53">
        <v>2</v>
      </c>
      <c r="D53">
        <v>44000</v>
      </c>
      <c r="E53">
        <v>2000</v>
      </c>
      <c r="F53">
        <v>312000</v>
      </c>
      <c r="G53">
        <v>31200</v>
      </c>
      <c r="H53">
        <f t="shared" si="0"/>
        <v>-268000</v>
      </c>
      <c r="I53" s="75">
        <f t="shared" si="1"/>
        <v>6.0909090909090908</v>
      </c>
      <c r="J53" s="76">
        <f t="shared" si="2"/>
        <v>-29200</v>
      </c>
      <c r="K53" s="75">
        <f t="shared" si="3"/>
        <v>14.6</v>
      </c>
    </row>
    <row r="54" spans="1:11" ht="30.75">
      <c r="A54" s="2" t="s">
        <v>502</v>
      </c>
      <c r="B54">
        <v>4</v>
      </c>
      <c r="C54">
        <v>8</v>
      </c>
      <c r="D54">
        <v>44000</v>
      </c>
      <c r="E54">
        <v>84000</v>
      </c>
      <c r="F54">
        <v>936000</v>
      </c>
      <c r="G54">
        <v>288000</v>
      </c>
      <c r="H54">
        <f t="shared" si="0"/>
        <v>-892000</v>
      </c>
      <c r="I54" s="75">
        <f t="shared" si="1"/>
        <v>20.272727272727273</v>
      </c>
      <c r="J54" s="76">
        <f t="shared" si="2"/>
        <v>-204000</v>
      </c>
      <c r="K54" s="75">
        <f t="shared" si="3"/>
        <v>2.4285714285714284</v>
      </c>
    </row>
    <row r="55" spans="1:11" ht="30.75">
      <c r="A55" s="2" t="s">
        <v>503</v>
      </c>
      <c r="B55">
        <v>3</v>
      </c>
      <c r="C55">
        <v>6</v>
      </c>
      <c r="D55">
        <v>36000</v>
      </c>
      <c r="E55">
        <v>27000</v>
      </c>
      <c r="F55">
        <v>312000</v>
      </c>
      <c r="G55">
        <v>58800</v>
      </c>
      <c r="H55">
        <f t="shared" si="0"/>
        <v>-276000</v>
      </c>
      <c r="I55" s="75">
        <f t="shared" si="1"/>
        <v>7.666666666666667</v>
      </c>
      <c r="J55" s="76">
        <f t="shared" si="2"/>
        <v>-31800</v>
      </c>
      <c r="K55" s="75">
        <f t="shared" si="3"/>
        <v>1.1777777777777778</v>
      </c>
    </row>
    <row r="56" spans="1:11" ht="30.75">
      <c r="A56" s="2" t="s">
        <v>504</v>
      </c>
      <c r="B56">
        <v>3</v>
      </c>
      <c r="C56">
        <v>6</v>
      </c>
      <c r="D56">
        <v>6500</v>
      </c>
      <c r="E56">
        <v>1500</v>
      </c>
      <c r="F56">
        <v>312000</v>
      </c>
      <c r="G56">
        <v>58000</v>
      </c>
      <c r="H56">
        <f t="shared" si="0"/>
        <v>-305500</v>
      </c>
      <c r="I56" s="75">
        <f t="shared" si="1"/>
        <v>47</v>
      </c>
      <c r="J56" s="76">
        <f t="shared" si="2"/>
        <v>-56500</v>
      </c>
      <c r="K56" s="75">
        <f t="shared" si="3"/>
        <v>37.666666666666664</v>
      </c>
    </row>
    <row r="57" spans="1:11" ht="30.75">
      <c r="A57" s="2" t="s">
        <v>505</v>
      </c>
      <c r="B57">
        <v>4</v>
      </c>
      <c r="C57">
        <v>8</v>
      </c>
      <c r="D57">
        <v>1800</v>
      </c>
      <c r="E57">
        <v>800</v>
      </c>
      <c r="F57">
        <v>1632000</v>
      </c>
      <c r="G57">
        <v>144000</v>
      </c>
      <c r="H57">
        <f t="shared" si="0"/>
        <v>-1630200</v>
      </c>
      <c r="I57" s="75">
        <f t="shared" si="1"/>
        <v>905.66666666666663</v>
      </c>
      <c r="J57" s="76">
        <f t="shared" si="2"/>
        <v>-143200</v>
      </c>
      <c r="K57" s="75">
        <f t="shared" si="3"/>
        <v>179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Ali</dc:creator>
  <cp:keywords/>
  <dc:description/>
  <cp:lastModifiedBy/>
  <cp:revision/>
  <dcterms:created xsi:type="dcterms:W3CDTF">2015-06-05T18:17:20Z</dcterms:created>
  <dcterms:modified xsi:type="dcterms:W3CDTF">2025-12-11T05:38:21Z</dcterms:modified>
  <cp:category/>
  <cp:contentStatus/>
</cp:coreProperties>
</file>